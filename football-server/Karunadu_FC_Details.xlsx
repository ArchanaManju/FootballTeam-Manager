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rls" sheetId="1" r:id="rId4"/>
    <sheet state="visible" name="Senior" sheetId="2" r:id="rId5"/>
    <sheet state="visible" name="2011" sheetId="3" r:id="rId6"/>
    <sheet state="visible" name="2012" sheetId="4" r:id="rId7"/>
    <sheet state="visible" name="2013" sheetId="5" r:id="rId8"/>
    <sheet state="visible" name="2014" sheetId="6" r:id="rId9"/>
    <sheet state="visible" name="2015" sheetId="7" r:id="rId10"/>
    <sheet state="visible" name="2016" sheetId="8" r:id="rId11"/>
    <sheet state="visible" name="2017" sheetId="9" r:id="rId12"/>
    <sheet state="visible" name="2018" sheetId="10" r:id="rId13"/>
    <sheet state="visible" name="2019" sheetId="11" r:id="rId14"/>
    <sheet state="visible" name="2020" sheetId="12" r:id="rId15"/>
    <sheet state="visible" name="2021" sheetId="13" r:id="rId16"/>
    <sheet state="visible" name="2022" sheetId="14" r:id="rId17"/>
  </sheets>
  <definedNames>
    <definedName name="NamedRange1">#REF!</definedName>
  </definedNames>
  <calcPr/>
  <extLst>
    <ext uri="GoogleSheetsCustomDataVersion2">
      <go:sheetsCustomData xmlns:go="http://customooxmlschemas.google.com/" r:id="rId18" roundtripDataChecksum="WEHbfZMZCsa7GXoiVhHLia6VdwAN5FfVh23IWLV5NK4="/>
    </ext>
  </extLst>
</workbook>
</file>

<file path=xl/sharedStrings.xml><?xml version="1.0" encoding="utf-8"?>
<sst xmlns="http://schemas.openxmlformats.org/spreadsheetml/2006/main" count="2631" uniqueCount="122">
  <si>
    <t>Sl No</t>
  </si>
  <si>
    <t>Player</t>
  </si>
  <si>
    <t>Varshini</t>
  </si>
  <si>
    <t>Rucha</t>
  </si>
  <si>
    <t>Kavana</t>
  </si>
  <si>
    <t>Riya</t>
  </si>
  <si>
    <t>Zainab</t>
  </si>
  <si>
    <t>Niharika</t>
  </si>
  <si>
    <t>Zohra</t>
  </si>
  <si>
    <t>Jersey Number</t>
  </si>
  <si>
    <t>Jersey Size</t>
  </si>
  <si>
    <t>Fees Paid or Not</t>
  </si>
  <si>
    <t>December</t>
  </si>
  <si>
    <t>% in School Test</t>
  </si>
  <si>
    <t>Attendance %</t>
  </si>
  <si>
    <t>No of Days Present</t>
  </si>
  <si>
    <t>No of Days Absent</t>
  </si>
  <si>
    <t>Weight (kg)</t>
  </si>
  <si>
    <t>Height (CM)</t>
  </si>
  <si>
    <t>TND</t>
  </si>
  <si>
    <t>Week Days</t>
  </si>
  <si>
    <t>Date</t>
  </si>
  <si>
    <t>Monday</t>
  </si>
  <si>
    <t>Y</t>
  </si>
  <si>
    <t>A</t>
  </si>
  <si>
    <t>P</t>
  </si>
  <si>
    <t>Tuesday</t>
  </si>
  <si>
    <t>Wednesday</t>
  </si>
  <si>
    <t>Thursday</t>
  </si>
  <si>
    <t>Friday</t>
  </si>
  <si>
    <t>Saturday</t>
  </si>
  <si>
    <t>Sunday</t>
  </si>
  <si>
    <t>N</t>
  </si>
  <si>
    <t>Md Umair</t>
  </si>
  <si>
    <t>Sushanth</t>
  </si>
  <si>
    <t>Sujith</t>
  </si>
  <si>
    <t>Sahil</t>
  </si>
  <si>
    <t>Anas</t>
  </si>
  <si>
    <t>Mubarak</t>
  </si>
  <si>
    <t>Aryan Puniya</t>
  </si>
  <si>
    <t>Nikhil Savanth</t>
  </si>
  <si>
    <t>Pretham 2009 Blre</t>
  </si>
  <si>
    <t>Moin</t>
  </si>
  <si>
    <t>Rahul</t>
  </si>
  <si>
    <t>Manjunath</t>
  </si>
  <si>
    <t>NA</t>
  </si>
  <si>
    <t>Umar</t>
  </si>
  <si>
    <t>Dishan</t>
  </si>
  <si>
    <t>Bharatesh</t>
  </si>
  <si>
    <t>Anantesh</t>
  </si>
  <si>
    <t>Bharadwaj Reddy</t>
  </si>
  <si>
    <t>Adyanth</t>
  </si>
  <si>
    <t>Devampriya</t>
  </si>
  <si>
    <t>Farhan</t>
  </si>
  <si>
    <t>Harsha</t>
  </si>
  <si>
    <t>Bhuvan</t>
  </si>
  <si>
    <t>Numair</t>
  </si>
  <si>
    <t>Nawaz</t>
  </si>
  <si>
    <t>Nidhi</t>
  </si>
  <si>
    <t>Zunain</t>
  </si>
  <si>
    <t>Sairam</t>
  </si>
  <si>
    <t>Nazeer Ahamed</t>
  </si>
  <si>
    <t>Ruthvik H K</t>
  </si>
  <si>
    <t>Kalsah</t>
  </si>
  <si>
    <t>Jeevan</t>
  </si>
  <si>
    <t>Krishna</t>
  </si>
  <si>
    <t>Adnan</t>
  </si>
  <si>
    <t>Kushal B</t>
  </si>
  <si>
    <t>Khazi MD Izaan</t>
  </si>
  <si>
    <t>Md Fuzail Khan</t>
  </si>
  <si>
    <t>Syeda Safura Eram</t>
  </si>
  <si>
    <t>Giyansh</t>
  </si>
  <si>
    <t>Indradanush</t>
  </si>
  <si>
    <t>Samvedh</t>
  </si>
  <si>
    <t>Benakesh</t>
  </si>
  <si>
    <t>Mokshith</t>
  </si>
  <si>
    <t>Mohammed Fuzail Khan</t>
  </si>
  <si>
    <t>Gurukiran H</t>
  </si>
  <si>
    <t>K Ikram Khan</t>
  </si>
  <si>
    <t>Rehaman Saeed</t>
  </si>
  <si>
    <t>Masuda CFS</t>
  </si>
  <si>
    <t>Mohammed Ibrahim MH</t>
  </si>
  <si>
    <t>Reyansh KR</t>
  </si>
  <si>
    <t>Fuzail Hassan Bhaiji</t>
  </si>
  <si>
    <t>Umul Khair</t>
  </si>
  <si>
    <t>Sreejith</t>
  </si>
  <si>
    <t>Parv Babel</t>
  </si>
  <si>
    <t>Hassan</t>
  </si>
  <si>
    <t>Sarfaz</t>
  </si>
  <si>
    <t>Pratham</t>
  </si>
  <si>
    <t>Muazzin</t>
  </si>
  <si>
    <t>Punya</t>
  </si>
  <si>
    <t>Sayed Noor</t>
  </si>
  <si>
    <t>Shashank</t>
  </si>
  <si>
    <t>Rochith</t>
  </si>
  <si>
    <t>Siddesh</t>
  </si>
  <si>
    <t>Lakshith</t>
  </si>
  <si>
    <t>Paid</t>
  </si>
  <si>
    <t>Jiyansh M Jain</t>
  </si>
  <si>
    <t>Uthkarsh Varun Dibdhalli</t>
  </si>
  <si>
    <t>Sayed Siraj</t>
  </si>
  <si>
    <t xml:space="preserve">Rida Amber </t>
  </si>
  <si>
    <t>Zidane</t>
  </si>
  <si>
    <t>Mayank</t>
  </si>
  <si>
    <t xml:space="preserve">Atharv </t>
  </si>
  <si>
    <t xml:space="preserve">Giyansh </t>
  </si>
  <si>
    <t>Hanuman</t>
  </si>
  <si>
    <t>N/A</t>
  </si>
  <si>
    <t>Md Taimur Khan</t>
  </si>
  <si>
    <t xml:space="preserve">Parth Pradeep </t>
  </si>
  <si>
    <t>Arya Pavan Revankar</t>
  </si>
  <si>
    <t>Mohammed Tanveer Sharif</t>
  </si>
  <si>
    <t>Samyak</t>
  </si>
  <si>
    <t>Janay K (Kush)</t>
  </si>
  <si>
    <t>Bhumika K Tilavalli</t>
  </si>
  <si>
    <t>Daksh Y</t>
  </si>
  <si>
    <t>Samyak Jain</t>
  </si>
  <si>
    <t>Abdur  Rahman</t>
  </si>
  <si>
    <t>Dhairya</t>
  </si>
  <si>
    <t>Aarush pavan Revankar</t>
  </si>
  <si>
    <t xml:space="preserve">Areeba Mujtaba </t>
  </si>
  <si>
    <t>Md Faisal Khan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</si>
</sst>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, yyyy"/>
    <numFmt numFmtId="165" formatCode="dd/MM/yyyy"/>
    <numFmt numFmtId="166" formatCode="d/m/yyyy"/>
  </numFmts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3.0"/>
      <color theme="1"/>
      <name val="Arial"/>
    </font>
    <font/>
    <font>
      <color theme="1"/>
      <name val="Arial"/>
    </font>
    <font>
      <b/>
      <sz val="11.0"/>
      <color rgb="FF0000FF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left"/>
    </xf>
    <xf borderId="2" fillId="0" fontId="3" numFmtId="0" xfId="0" applyBorder="1" applyFont="1"/>
    <xf borderId="3" fillId="2" fontId="2" numFmtId="0" xfId="0" applyAlignment="1" applyBorder="1" applyFont="1">
      <alignment horizontal="center" vertical="center"/>
    </xf>
    <xf borderId="3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center"/>
    </xf>
    <xf borderId="1" fillId="3" fontId="1" numFmtId="0" xfId="0" applyAlignment="1" applyBorder="1" applyFill="1" applyFont="1">
      <alignment horizontal="left"/>
    </xf>
    <xf borderId="3" fillId="3" fontId="4" numFmtId="0" xfId="0" applyAlignment="1" applyBorder="1" applyFont="1">
      <alignment horizontal="center" vertical="center"/>
    </xf>
    <xf borderId="3" fillId="3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left"/>
    </xf>
    <xf borderId="3" fillId="4" fontId="4" numFmtId="0" xfId="0" applyAlignment="1" applyBorder="1" applyFont="1">
      <alignment horizontal="center" vertical="center"/>
    </xf>
    <xf borderId="3" fillId="4" fontId="1" numFmtId="0" xfId="0" applyAlignment="1" applyBorder="1" applyFont="1">
      <alignment horizontal="center"/>
    </xf>
    <xf borderId="3" fillId="4" fontId="4" numFmtId="0" xfId="0" applyBorder="1" applyFont="1"/>
    <xf borderId="3" fillId="3" fontId="2" numFmtId="0" xfId="0" applyAlignment="1" applyBorder="1" applyFont="1">
      <alignment horizontal="center" vertical="center"/>
    </xf>
    <xf borderId="3" fillId="3" fontId="4" numFmtId="0" xfId="0" applyBorder="1" applyFont="1"/>
    <xf borderId="1" fillId="4" fontId="5" numFmtId="0" xfId="0" applyAlignment="1" applyBorder="1" applyFont="1">
      <alignment horizontal="left"/>
    </xf>
    <xf borderId="3" fillId="4" fontId="2" numFmtId="0" xfId="0" applyAlignment="1" applyBorder="1" applyFont="1">
      <alignment horizontal="center" vertical="center"/>
    </xf>
    <xf borderId="3" fillId="4" fontId="1" numFmtId="164" xfId="0" applyAlignment="1" applyBorder="1" applyFont="1" applyNumberFormat="1">
      <alignment horizontal="center"/>
    </xf>
    <xf borderId="3" fillId="4" fontId="4" numFmtId="0" xfId="0" applyAlignment="1" applyBorder="1" applyFont="1">
      <alignment horizontal="center" shrinkToFit="0" vertical="center" wrapText="1"/>
    </xf>
    <xf borderId="3" fillId="4" fontId="1" numFmtId="2" xfId="0" applyAlignment="1" applyBorder="1" applyFont="1" applyNumberFormat="1">
      <alignment horizontal="center" shrinkToFit="0" vertical="center" wrapText="1"/>
    </xf>
    <xf borderId="3" fillId="3" fontId="6" numFmtId="0" xfId="0" applyBorder="1" applyFont="1"/>
    <xf borderId="3" fillId="3" fontId="6" numFmtId="0" xfId="0" applyAlignment="1" applyBorder="1" applyFont="1">
      <alignment horizontal="center"/>
    </xf>
    <xf borderId="3" fillId="4" fontId="6" numFmtId="0" xfId="0" applyBorder="1" applyFont="1"/>
    <xf borderId="3" fillId="4" fontId="1" numFmtId="0" xfId="0" applyBorder="1" applyFont="1"/>
    <xf borderId="3" fillId="4" fontId="6" numFmtId="0" xfId="0" applyAlignment="1" applyBorder="1" applyFont="1">
      <alignment horizontal="center"/>
    </xf>
    <xf borderId="3" fillId="3" fontId="4" numFmtId="165" xfId="0" applyAlignment="1" applyBorder="1" applyFont="1" applyNumberFormat="1">
      <alignment horizontal="center"/>
    </xf>
    <xf borderId="3" fillId="3" fontId="4" numFmtId="0" xfId="0" applyAlignment="1" applyBorder="1" applyFont="1">
      <alignment horizontal="center" shrinkToFit="0" vertical="center" wrapText="1"/>
    </xf>
    <xf borderId="3" fillId="4" fontId="4" numFmtId="165" xfId="0" applyAlignment="1" applyBorder="1" applyFont="1" applyNumberFormat="1">
      <alignment horizontal="center"/>
    </xf>
    <xf borderId="3" fillId="0" fontId="4" numFmtId="0" xfId="0" applyBorder="1" applyFont="1"/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3" fontId="4" numFmtId="0" xfId="0" applyFont="1"/>
    <xf borderId="0" fillId="4" fontId="4" numFmtId="0" xfId="0" applyFont="1"/>
    <xf borderId="0" fillId="2" fontId="4" numFmtId="0" xfId="0" applyFont="1"/>
    <xf borderId="0" fillId="0" fontId="2" numFmtId="0" xfId="0" applyAlignment="1" applyFont="1">
      <alignment horizontal="center"/>
    </xf>
    <xf borderId="3" fillId="2" fontId="2" numFmtId="0" xfId="0" applyAlignment="1" applyBorder="1" applyFont="1">
      <alignment horizontal="center"/>
    </xf>
    <xf borderId="3" fillId="3" fontId="2" numFmtId="0" xfId="0" applyAlignment="1" applyBorder="1" applyFont="1">
      <alignment horizontal="center"/>
    </xf>
    <xf borderId="3" fillId="4" fontId="2" numFmtId="0" xfId="0" applyAlignment="1" applyBorder="1" applyFont="1">
      <alignment horizontal="center"/>
    </xf>
    <xf borderId="3" fillId="4" fontId="4" numFmtId="0" xfId="0" applyAlignment="1" applyBorder="1" applyFont="1">
      <alignment horizontal="center" shrinkToFit="0" wrapText="1"/>
    </xf>
    <xf borderId="3" fillId="3" fontId="4" numFmtId="0" xfId="0" applyAlignment="1" applyBorder="1" applyFont="1">
      <alignment horizontal="center" shrinkToFit="0" wrapText="1"/>
    </xf>
    <xf borderId="3" fillId="0" fontId="4" numFmtId="165" xfId="0" applyAlignment="1" applyBorder="1" applyFont="1" applyNumberFormat="1">
      <alignment horizontal="center"/>
    </xf>
    <xf borderId="3" fillId="0" fontId="4" numFmtId="0" xfId="0" applyAlignment="1" applyBorder="1" applyFont="1">
      <alignment horizontal="center" vertical="center"/>
    </xf>
    <xf borderId="3" fillId="4" fontId="1" numFmtId="166" xfId="0" applyAlignment="1" applyBorder="1" applyFont="1" applyNumberFormat="1">
      <alignment horizontal="center"/>
    </xf>
    <xf borderId="0" fillId="0" fontId="4" numFmtId="0" xfId="0" applyFont="1"/>
    <xf borderId="3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8.13"/>
    <col customWidth="1" min="5" max="5" width="6.63"/>
    <col customWidth="1" min="6" max="6" width="7.5"/>
    <col customWidth="1" min="7" max="7" width="5.63"/>
    <col customWidth="1" min="8" max="8" width="6.88"/>
    <col customWidth="1" min="9" max="9" width="8.25"/>
    <col customWidth="1" min="10" max="10" width="6.13"/>
    <col customWidth="1" min="11" max="11" width="13.63"/>
    <col customWidth="1" min="12" max="12" width="17.0"/>
    <col customWidth="1" min="13" max="13" width="5.63"/>
    <col customWidth="1" min="14" max="14" width="6.13"/>
    <col customWidth="1" min="15" max="15" width="10.13"/>
    <col customWidth="1" min="16" max="16" width="5.63"/>
    <col customWidth="1" min="17" max="17" width="7.0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35.0</v>
      </c>
      <c r="E3" s="11">
        <v>29.0</v>
      </c>
      <c r="F3" s="11">
        <v>125.0</v>
      </c>
      <c r="G3" s="11">
        <v>123.0</v>
      </c>
      <c r="H3" s="11">
        <v>10.0</v>
      </c>
      <c r="I3" s="11">
        <v>60.0</v>
      </c>
      <c r="J3" s="11">
        <v>114.0</v>
      </c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J8" si="1">D9/$C$14*100</f>
        <v>0</v>
      </c>
      <c r="E8" s="22">
        <f t="shared" si="1"/>
        <v>46.66666667</v>
      </c>
      <c r="F8" s="22">
        <f t="shared" si="1"/>
        <v>66.66666667</v>
      </c>
      <c r="G8" s="22">
        <f t="shared" si="1"/>
        <v>33.33333333</v>
      </c>
      <c r="H8" s="22">
        <f t="shared" si="1"/>
        <v>33.33333333</v>
      </c>
      <c r="I8" s="22">
        <f t="shared" si="1"/>
        <v>0</v>
      </c>
      <c r="J8" s="22">
        <f t="shared" si="1"/>
        <v>33.33333333</v>
      </c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J9" si="2">COUNTIF(D15:D44, "P")</f>
        <v>0</v>
      </c>
      <c r="E9" s="11">
        <f t="shared" si="2"/>
        <v>7</v>
      </c>
      <c r="F9" s="11">
        <f t="shared" si="2"/>
        <v>10</v>
      </c>
      <c r="G9" s="11">
        <f t="shared" si="2"/>
        <v>5</v>
      </c>
      <c r="H9" s="11">
        <f t="shared" si="2"/>
        <v>5</v>
      </c>
      <c r="I9" s="11">
        <f t="shared" si="2"/>
        <v>0</v>
      </c>
      <c r="J9" s="11">
        <f t="shared" si="2"/>
        <v>5</v>
      </c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J10" si="3">COUNTIF(D15:D45, "A")</f>
        <v>11</v>
      </c>
      <c r="E10" s="14">
        <f t="shared" si="3"/>
        <v>4</v>
      </c>
      <c r="F10" s="14">
        <f t="shared" si="3"/>
        <v>1</v>
      </c>
      <c r="G10" s="14">
        <f t="shared" si="3"/>
        <v>6</v>
      </c>
      <c r="H10" s="14">
        <f t="shared" si="3"/>
        <v>5</v>
      </c>
      <c r="I10" s="14">
        <f t="shared" si="3"/>
        <v>11</v>
      </c>
      <c r="J10" s="14">
        <f t="shared" si="3"/>
        <v>6</v>
      </c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2</v>
      </c>
      <c r="E14" s="27" t="s">
        <v>3</v>
      </c>
      <c r="F14" s="27" t="s">
        <v>4</v>
      </c>
      <c r="G14" s="27" t="s">
        <v>5</v>
      </c>
      <c r="H14" s="27" t="s">
        <v>6</v>
      </c>
      <c r="I14" s="27" t="s">
        <v>7</v>
      </c>
      <c r="J14" s="27" t="s">
        <v>8</v>
      </c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25</v>
      </c>
      <c r="G15" s="29" t="s">
        <v>24</v>
      </c>
      <c r="H15" s="29" t="s">
        <v>25</v>
      </c>
      <c r="I15" s="29" t="s">
        <v>24</v>
      </c>
      <c r="J15" s="29" t="s">
        <v>24</v>
      </c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24</v>
      </c>
      <c r="E16" s="21" t="s">
        <v>25</v>
      </c>
      <c r="F16" s="21" t="s">
        <v>24</v>
      </c>
      <c r="G16" s="21" t="s">
        <v>25</v>
      </c>
      <c r="H16" s="21" t="s">
        <v>24</v>
      </c>
      <c r="I16" s="21" t="s">
        <v>24</v>
      </c>
      <c r="J16" s="21" t="s">
        <v>24</v>
      </c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24</v>
      </c>
      <c r="E17" s="29" t="s">
        <v>25</v>
      </c>
      <c r="F17" s="29" t="s">
        <v>25</v>
      </c>
      <c r="G17" s="29" t="s">
        <v>25</v>
      </c>
      <c r="H17" s="29"/>
      <c r="I17" s="29" t="s">
        <v>24</v>
      </c>
      <c r="J17" s="29" t="s">
        <v>24</v>
      </c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24</v>
      </c>
      <c r="E18" s="21" t="s">
        <v>25</v>
      </c>
      <c r="F18" s="21" t="s">
        <v>25</v>
      </c>
      <c r="G18" s="21" t="s">
        <v>24</v>
      </c>
      <c r="H18" s="21" t="s">
        <v>25</v>
      </c>
      <c r="I18" s="21" t="s">
        <v>24</v>
      </c>
      <c r="J18" s="21" t="s">
        <v>24</v>
      </c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24</v>
      </c>
      <c r="E19" s="29" t="s">
        <v>25</v>
      </c>
      <c r="F19" s="29" t="s">
        <v>25</v>
      </c>
      <c r="G19" s="29" t="s">
        <v>24</v>
      </c>
      <c r="H19" s="29" t="s">
        <v>25</v>
      </c>
      <c r="I19" s="29" t="s">
        <v>24</v>
      </c>
      <c r="J19" s="29" t="s">
        <v>25</v>
      </c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24</v>
      </c>
      <c r="I22" s="21" t="s">
        <v>24</v>
      </c>
      <c r="J22" s="21" t="s">
        <v>25</v>
      </c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25</v>
      </c>
      <c r="F23" s="29" t="s">
        <v>25</v>
      </c>
      <c r="G23" s="29" t="s">
        <v>25</v>
      </c>
      <c r="H23" s="29" t="s">
        <v>24</v>
      </c>
      <c r="I23" s="29" t="s">
        <v>24</v>
      </c>
      <c r="J23" s="29" t="s">
        <v>24</v>
      </c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24</v>
      </c>
      <c r="J24" s="21" t="s">
        <v>25</v>
      </c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 t="s">
        <v>24</v>
      </c>
      <c r="H25" s="29" t="s">
        <v>25</v>
      </c>
      <c r="I25" s="29" t="s">
        <v>24</v>
      </c>
      <c r="J25" s="29" t="s">
        <v>25</v>
      </c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24</v>
      </c>
      <c r="F26" s="21" t="s">
        <v>25</v>
      </c>
      <c r="G26" s="21" t="s">
        <v>24</v>
      </c>
      <c r="H26" s="21" t="s">
        <v>24</v>
      </c>
      <c r="I26" s="21" t="s">
        <v>24</v>
      </c>
      <c r="J26" s="21" t="s">
        <v>25</v>
      </c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24</v>
      </c>
      <c r="F29" s="29" t="s">
        <v>25</v>
      </c>
      <c r="G29" s="29" t="s">
        <v>24</v>
      </c>
      <c r="H29" s="29" t="s">
        <v>24</v>
      </c>
      <c r="I29" s="29" t="s">
        <v>24</v>
      </c>
      <c r="J29" s="29" t="s">
        <v>24</v>
      </c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A6:B6"/>
    <mergeCell ref="A7:B7"/>
    <mergeCell ref="A8:B8"/>
    <mergeCell ref="A9:B9"/>
    <mergeCell ref="A10:B10"/>
    <mergeCell ref="A11:B11"/>
    <mergeCell ref="A12:B12"/>
    <mergeCell ref="A2:B2"/>
    <mergeCell ref="A3:B3"/>
    <mergeCell ref="A4:B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5" width="9.38"/>
    <col customWidth="1" min="6" max="6" width="6.13"/>
    <col customWidth="1" min="7" max="8" width="5.63"/>
    <col customWidth="1" min="9" max="9" width="8.5"/>
    <col customWidth="1" min="10" max="10" width="12.75"/>
    <col customWidth="1" min="11" max="11" width="13.63"/>
    <col customWidth="1" min="12" max="12" width="17.0"/>
    <col customWidth="1" min="13" max="13" width="5.63"/>
    <col customWidth="1" min="14" max="14" width="6.13"/>
    <col customWidth="1" min="15" max="15" width="10.13"/>
    <col customWidth="1" min="16" max="16" width="5.63"/>
    <col customWidth="1" min="17" max="17" width="7.0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43</v>
      </c>
      <c r="O2" s="7" t="s">
        <v>44</v>
      </c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35.0</v>
      </c>
      <c r="E3" s="11">
        <v>29.0</v>
      </c>
      <c r="F3" s="11">
        <v>125.0</v>
      </c>
      <c r="G3" s="11">
        <v>123.0</v>
      </c>
      <c r="H3" s="11">
        <v>10.0</v>
      </c>
      <c r="I3" s="11">
        <v>60.0</v>
      </c>
      <c r="J3" s="11">
        <v>114.0</v>
      </c>
      <c r="K3" s="11">
        <v>1.0</v>
      </c>
      <c r="L3" s="11" t="s">
        <v>45</v>
      </c>
      <c r="M3" s="11" t="s">
        <v>45</v>
      </c>
      <c r="N3" s="11">
        <v>30.0</v>
      </c>
      <c r="O3" s="11">
        <v>237.0</v>
      </c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O8" si="1">D9/$C$14*100</f>
        <v>13.33333333</v>
      </c>
      <c r="E8" s="22">
        <f t="shared" si="1"/>
        <v>40</v>
      </c>
      <c r="F8" s="22">
        <f t="shared" si="1"/>
        <v>53.33333333</v>
      </c>
      <c r="G8" s="22">
        <f t="shared" si="1"/>
        <v>80</v>
      </c>
      <c r="H8" s="22">
        <f t="shared" si="1"/>
        <v>0</v>
      </c>
      <c r="I8" s="22">
        <f t="shared" si="1"/>
        <v>13.33333333</v>
      </c>
      <c r="J8" s="22">
        <f t="shared" si="1"/>
        <v>6.666666667</v>
      </c>
      <c r="K8" s="22">
        <f t="shared" si="1"/>
        <v>0</v>
      </c>
      <c r="L8" s="22">
        <f t="shared" si="1"/>
        <v>73.33333333</v>
      </c>
      <c r="M8" s="22">
        <f t="shared" si="1"/>
        <v>0</v>
      </c>
      <c r="N8" s="22">
        <f t="shared" si="1"/>
        <v>0</v>
      </c>
      <c r="O8" s="22">
        <f t="shared" si="1"/>
        <v>80</v>
      </c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O9" si="2">COUNTIF(D15:D44, "P")</f>
        <v>2</v>
      </c>
      <c r="E9" s="11">
        <f t="shared" si="2"/>
        <v>6</v>
      </c>
      <c r="F9" s="11">
        <f t="shared" si="2"/>
        <v>8</v>
      </c>
      <c r="G9" s="11">
        <f t="shared" si="2"/>
        <v>12</v>
      </c>
      <c r="H9" s="11">
        <f t="shared" si="2"/>
        <v>0</v>
      </c>
      <c r="I9" s="11">
        <f t="shared" si="2"/>
        <v>2</v>
      </c>
      <c r="J9" s="11">
        <f t="shared" si="2"/>
        <v>1</v>
      </c>
      <c r="K9" s="11">
        <f t="shared" si="2"/>
        <v>0</v>
      </c>
      <c r="L9" s="11">
        <f t="shared" si="2"/>
        <v>11</v>
      </c>
      <c r="M9" s="11">
        <f t="shared" si="2"/>
        <v>0</v>
      </c>
      <c r="N9" s="11">
        <f t="shared" si="2"/>
        <v>0</v>
      </c>
      <c r="O9" s="11">
        <f t="shared" si="2"/>
        <v>12</v>
      </c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O10" si="3">COUNTIF(D15:D45, "A")</f>
        <v>11</v>
      </c>
      <c r="E10" s="14">
        <f t="shared" si="3"/>
        <v>7</v>
      </c>
      <c r="F10" s="14">
        <f t="shared" si="3"/>
        <v>5</v>
      </c>
      <c r="G10" s="14">
        <f t="shared" si="3"/>
        <v>1</v>
      </c>
      <c r="H10" s="14">
        <f t="shared" si="3"/>
        <v>13</v>
      </c>
      <c r="I10" s="14">
        <f t="shared" si="3"/>
        <v>11</v>
      </c>
      <c r="J10" s="14">
        <f t="shared" si="3"/>
        <v>12</v>
      </c>
      <c r="K10" s="14">
        <f t="shared" si="3"/>
        <v>13</v>
      </c>
      <c r="L10" s="14">
        <f t="shared" si="3"/>
        <v>2</v>
      </c>
      <c r="M10" s="14">
        <f t="shared" si="3"/>
        <v>13</v>
      </c>
      <c r="N10" s="14">
        <f t="shared" si="3"/>
        <v>13</v>
      </c>
      <c r="O10" s="14">
        <f t="shared" si="3"/>
        <v>3</v>
      </c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33</v>
      </c>
      <c r="E14" s="27" t="s">
        <v>34</v>
      </c>
      <c r="F14" s="27" t="s">
        <v>35</v>
      </c>
      <c r="G14" s="27" t="s">
        <v>36</v>
      </c>
      <c r="H14" s="27" t="s">
        <v>37</v>
      </c>
      <c r="I14" s="27" t="s">
        <v>38</v>
      </c>
      <c r="J14" s="27" t="s">
        <v>39</v>
      </c>
      <c r="K14" s="27" t="s">
        <v>40</v>
      </c>
      <c r="L14" s="27" t="s">
        <v>41</v>
      </c>
      <c r="M14" s="27" t="s">
        <v>42</v>
      </c>
      <c r="N14" s="27" t="s">
        <v>43</v>
      </c>
      <c r="O14" s="27" t="s">
        <v>44</v>
      </c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24</v>
      </c>
      <c r="G15" s="29" t="s">
        <v>25</v>
      </c>
      <c r="H15" s="29" t="s">
        <v>24</v>
      </c>
      <c r="I15" s="29" t="s">
        <v>24</v>
      </c>
      <c r="J15" s="29" t="s">
        <v>24</v>
      </c>
      <c r="K15" s="29" t="s">
        <v>24</v>
      </c>
      <c r="L15" s="29" t="s">
        <v>24</v>
      </c>
      <c r="M15" s="29" t="s">
        <v>24</v>
      </c>
      <c r="N15" s="29" t="s">
        <v>24</v>
      </c>
      <c r="O15" s="29" t="s">
        <v>24</v>
      </c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24</v>
      </c>
      <c r="E16" s="21" t="s">
        <v>24</v>
      </c>
      <c r="F16" s="21" t="s">
        <v>24</v>
      </c>
      <c r="G16" s="21" t="s">
        <v>25</v>
      </c>
      <c r="H16" s="21" t="s">
        <v>24</v>
      </c>
      <c r="I16" s="21" t="s">
        <v>24</v>
      </c>
      <c r="J16" s="21" t="s">
        <v>24</v>
      </c>
      <c r="K16" s="21" t="s">
        <v>24</v>
      </c>
      <c r="L16" s="21" t="s">
        <v>25</v>
      </c>
      <c r="M16" s="21" t="s">
        <v>24</v>
      </c>
      <c r="N16" s="21" t="s">
        <v>24</v>
      </c>
      <c r="O16" s="21" t="s">
        <v>24</v>
      </c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24</v>
      </c>
      <c r="E17" s="29" t="s">
        <v>24</v>
      </c>
      <c r="F17" s="29" t="s">
        <v>24</v>
      </c>
      <c r="G17" s="29" t="s">
        <v>25</v>
      </c>
      <c r="H17" s="29" t="s">
        <v>24</v>
      </c>
      <c r="I17" s="29" t="s">
        <v>24</v>
      </c>
      <c r="J17" s="29" t="s">
        <v>24</v>
      </c>
      <c r="K17" s="29" t="s">
        <v>24</v>
      </c>
      <c r="L17" s="29" t="s">
        <v>25</v>
      </c>
      <c r="M17" s="29" t="s">
        <v>24</v>
      </c>
      <c r="N17" s="29" t="s">
        <v>24</v>
      </c>
      <c r="O17" s="29" t="s">
        <v>25</v>
      </c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24</v>
      </c>
      <c r="E18" s="21" t="s">
        <v>24</v>
      </c>
      <c r="F18" s="21" t="s">
        <v>24</v>
      </c>
      <c r="G18" s="21" t="s">
        <v>25</v>
      </c>
      <c r="H18" s="21" t="s">
        <v>24</v>
      </c>
      <c r="I18" s="21" t="s">
        <v>24</v>
      </c>
      <c r="J18" s="21" t="s">
        <v>24</v>
      </c>
      <c r="K18" s="21" t="s">
        <v>24</v>
      </c>
      <c r="L18" s="21" t="s">
        <v>25</v>
      </c>
      <c r="M18" s="21" t="s">
        <v>24</v>
      </c>
      <c r="N18" s="21" t="s">
        <v>24</v>
      </c>
      <c r="O18" s="21" t="s">
        <v>25</v>
      </c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24</v>
      </c>
      <c r="E19" s="29" t="s">
        <v>24</v>
      </c>
      <c r="F19" s="29" t="s">
        <v>25</v>
      </c>
      <c r="G19" s="29" t="s">
        <v>25</v>
      </c>
      <c r="H19" s="29" t="s">
        <v>24</v>
      </c>
      <c r="I19" s="29" t="s">
        <v>24</v>
      </c>
      <c r="J19" s="29" t="s">
        <v>24</v>
      </c>
      <c r="K19" s="29" t="s">
        <v>24</v>
      </c>
      <c r="L19" s="29" t="s">
        <v>25</v>
      </c>
      <c r="M19" s="29" t="s">
        <v>24</v>
      </c>
      <c r="N19" s="29" t="s">
        <v>24</v>
      </c>
      <c r="O19" s="29" t="s">
        <v>25</v>
      </c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 t="s">
        <v>25</v>
      </c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 t="s">
        <v>25</v>
      </c>
      <c r="P21" s="29"/>
      <c r="Q21" s="29"/>
      <c r="R21" s="29"/>
      <c r="S21" s="10"/>
      <c r="U21" s="35" t="s">
        <v>24</v>
      </c>
      <c r="V21" s="35" t="s">
        <v>24</v>
      </c>
      <c r="W21" s="35" t="s">
        <v>24</v>
      </c>
      <c r="X21" s="35" t="s">
        <v>24</v>
      </c>
      <c r="Y21" s="35" t="s">
        <v>24</v>
      </c>
      <c r="Z21" s="35" t="s">
        <v>25</v>
      </c>
      <c r="AA21" s="35" t="s">
        <v>24</v>
      </c>
      <c r="AB21" s="35" t="s">
        <v>24</v>
      </c>
      <c r="AC21" s="35" t="s">
        <v>25</v>
      </c>
      <c r="AD21" s="35" t="s">
        <v>24</v>
      </c>
      <c r="AE21" s="35" t="s">
        <v>24</v>
      </c>
      <c r="AF21" s="35" t="s">
        <v>25</v>
      </c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24</v>
      </c>
      <c r="I22" s="21" t="s">
        <v>24</v>
      </c>
      <c r="J22" s="21" t="s">
        <v>24</v>
      </c>
      <c r="K22" s="21" t="s">
        <v>24</v>
      </c>
      <c r="L22" s="21" t="s">
        <v>25</v>
      </c>
      <c r="M22" s="21" t="s">
        <v>24</v>
      </c>
      <c r="N22" s="21" t="s">
        <v>24</v>
      </c>
      <c r="O22" s="21" t="s">
        <v>24</v>
      </c>
      <c r="P22" s="21"/>
      <c r="Q22" s="21"/>
      <c r="R22" s="21"/>
      <c r="S22" s="13"/>
      <c r="U22" s="36" t="s">
        <v>24</v>
      </c>
      <c r="V22" s="36" t="s">
        <v>25</v>
      </c>
      <c r="W22" s="36" t="s">
        <v>25</v>
      </c>
      <c r="X22" s="36" t="s">
        <v>25</v>
      </c>
      <c r="Y22" s="36" t="s">
        <v>24</v>
      </c>
      <c r="Z22" s="36" t="s">
        <v>24</v>
      </c>
      <c r="AA22" s="36" t="s">
        <v>24</v>
      </c>
      <c r="AB22" s="36" t="s">
        <v>24</v>
      </c>
      <c r="AC22" s="36" t="s">
        <v>24</v>
      </c>
      <c r="AD22" s="36" t="s">
        <v>24</v>
      </c>
      <c r="AE22" s="36" t="s">
        <v>24</v>
      </c>
      <c r="AF22" s="36" t="s">
        <v>25</v>
      </c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25</v>
      </c>
      <c r="F23" s="29" t="s">
        <v>25</v>
      </c>
      <c r="G23" s="29" t="s">
        <v>25</v>
      </c>
      <c r="H23" s="29" t="s">
        <v>24</v>
      </c>
      <c r="I23" s="29" t="s">
        <v>24</v>
      </c>
      <c r="J23" s="29" t="s">
        <v>25</v>
      </c>
      <c r="K23" s="29" t="s">
        <v>24</v>
      </c>
      <c r="L23" s="29" t="s">
        <v>25</v>
      </c>
      <c r="M23" s="29" t="s">
        <v>24</v>
      </c>
      <c r="N23" s="29" t="s">
        <v>24</v>
      </c>
      <c r="O23" s="29" t="s">
        <v>25</v>
      </c>
      <c r="P23" s="29"/>
      <c r="Q23" s="29"/>
      <c r="R23" s="29"/>
      <c r="S23" s="10"/>
      <c r="U23" s="35" t="s">
        <v>25</v>
      </c>
      <c r="V23" s="35" t="s">
        <v>25</v>
      </c>
      <c r="W23" s="35" t="s">
        <v>25</v>
      </c>
      <c r="X23" s="35" t="s">
        <v>25</v>
      </c>
      <c r="Y23" s="35" t="s">
        <v>24</v>
      </c>
      <c r="Z23" s="35" t="s">
        <v>24</v>
      </c>
      <c r="AA23" s="35" t="s">
        <v>24</v>
      </c>
      <c r="AB23" s="35" t="s">
        <v>24</v>
      </c>
      <c r="AC23" s="35" t="s">
        <v>25</v>
      </c>
      <c r="AD23" s="35" t="s">
        <v>24</v>
      </c>
      <c r="AE23" s="35" t="s">
        <v>24</v>
      </c>
      <c r="AF23" s="35" t="s">
        <v>25</v>
      </c>
      <c r="AG23" s="35"/>
      <c r="AH23" s="35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25</v>
      </c>
      <c r="G24" s="21" t="s">
        <v>25</v>
      </c>
      <c r="H24" s="21" t="s">
        <v>24</v>
      </c>
      <c r="I24" s="21" t="s">
        <v>24</v>
      </c>
      <c r="J24" s="21" t="s">
        <v>24</v>
      </c>
      <c r="K24" s="21" t="s">
        <v>24</v>
      </c>
      <c r="L24" s="21" t="s">
        <v>25</v>
      </c>
      <c r="M24" s="21" t="s">
        <v>24</v>
      </c>
      <c r="N24" s="21" t="s">
        <v>24</v>
      </c>
      <c r="O24" s="21" t="s">
        <v>25</v>
      </c>
      <c r="P24" s="21"/>
      <c r="Q24" s="21"/>
      <c r="R24" s="21"/>
      <c r="S24" s="13"/>
      <c r="AG24" s="36"/>
      <c r="AH24" s="36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 t="s">
        <v>25</v>
      </c>
      <c r="H25" s="29" t="s">
        <v>24</v>
      </c>
      <c r="I25" s="29" t="s">
        <v>25</v>
      </c>
      <c r="J25" s="29" t="s">
        <v>24</v>
      </c>
      <c r="K25" s="29" t="s">
        <v>24</v>
      </c>
      <c r="L25" s="29" t="s">
        <v>25</v>
      </c>
      <c r="M25" s="29" t="s">
        <v>24</v>
      </c>
      <c r="N25" s="29" t="s">
        <v>24</v>
      </c>
      <c r="O25" s="29" t="s">
        <v>25</v>
      </c>
      <c r="P25" s="29"/>
      <c r="Q25" s="29"/>
      <c r="R25" s="29"/>
      <c r="S25" s="10"/>
      <c r="AG25" s="35"/>
      <c r="AH25" s="35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25</v>
      </c>
      <c r="G26" s="21" t="s">
        <v>25</v>
      </c>
      <c r="H26" s="21" t="s">
        <v>24</v>
      </c>
      <c r="I26" s="21" t="s">
        <v>24</v>
      </c>
      <c r="J26" s="21" t="s">
        <v>24</v>
      </c>
      <c r="K26" s="21" t="s">
        <v>24</v>
      </c>
      <c r="L26" s="21" t="s">
        <v>25</v>
      </c>
      <c r="M26" s="21" t="s">
        <v>24</v>
      </c>
      <c r="N26" s="21" t="s">
        <v>24</v>
      </c>
      <c r="O26" s="21" t="s">
        <v>25</v>
      </c>
      <c r="P26" s="21"/>
      <c r="Q26" s="21"/>
      <c r="R26" s="21"/>
      <c r="S26" s="13"/>
      <c r="AB26" s="36"/>
      <c r="AC26" s="36"/>
      <c r="AD26" s="36"/>
      <c r="AE26" s="36"/>
      <c r="AF26" s="36"/>
      <c r="AG26" s="36"/>
      <c r="AH26" s="36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  <c r="AB27" s="35"/>
      <c r="AC27" s="35"/>
      <c r="AD27" s="35"/>
      <c r="AE27" s="35"/>
      <c r="AF27" s="35"/>
      <c r="AG27" s="35"/>
      <c r="AH27" s="35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  <c r="AB28" s="36"/>
      <c r="AC28" s="36"/>
      <c r="AD28" s="36"/>
      <c r="AE28" s="36"/>
      <c r="AF28" s="36"/>
      <c r="AG28" s="36"/>
      <c r="AH28" s="36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24</v>
      </c>
      <c r="F29" s="29" t="s">
        <v>24</v>
      </c>
      <c r="G29" s="29" t="s">
        <v>24</v>
      </c>
      <c r="H29" s="29" t="s">
        <v>24</v>
      </c>
      <c r="I29" s="29" t="s">
        <v>25</v>
      </c>
      <c r="J29" s="29" t="s">
        <v>24</v>
      </c>
      <c r="K29" s="29" t="s">
        <v>24</v>
      </c>
      <c r="L29" s="29" t="s">
        <v>25</v>
      </c>
      <c r="M29" s="29" t="s">
        <v>24</v>
      </c>
      <c r="N29" s="29" t="s">
        <v>24</v>
      </c>
      <c r="O29" s="29" t="s">
        <v>25</v>
      </c>
      <c r="P29" s="29"/>
      <c r="Q29" s="29"/>
      <c r="R29" s="29"/>
      <c r="S29" s="10"/>
      <c r="AB29" s="35"/>
      <c r="AC29" s="35"/>
      <c r="AD29" s="35"/>
      <c r="AE29" s="35"/>
      <c r="AF29" s="35"/>
      <c r="AG29" s="35"/>
      <c r="AH29" s="35"/>
    </row>
    <row r="30" ht="15.75" customHeight="1">
      <c r="A30" s="15" t="s">
        <v>26</v>
      </c>
      <c r="B30" s="30">
        <v>46007.0</v>
      </c>
      <c r="C30" s="13" t="s">
        <v>23</v>
      </c>
      <c r="D30" s="13" t="s">
        <v>24</v>
      </c>
      <c r="E30" s="13" t="s">
        <v>25</v>
      </c>
      <c r="F30" s="13" t="s">
        <v>25</v>
      </c>
      <c r="G30" s="13" t="s">
        <v>25</v>
      </c>
      <c r="H30" s="13" t="s">
        <v>24</v>
      </c>
      <c r="I30" s="13" t="s">
        <v>24</v>
      </c>
      <c r="J30" s="13" t="s">
        <v>24</v>
      </c>
      <c r="K30" s="13" t="s">
        <v>24</v>
      </c>
      <c r="L30" s="13" t="s">
        <v>24</v>
      </c>
      <c r="M30" s="13" t="s">
        <v>24</v>
      </c>
      <c r="N30" s="13" t="s">
        <v>24</v>
      </c>
      <c r="O30" s="13" t="s">
        <v>25</v>
      </c>
      <c r="P30" s="13"/>
      <c r="Q30" s="13"/>
      <c r="R30" s="13"/>
      <c r="S30" s="13"/>
      <c r="AB30" s="36"/>
      <c r="AC30" s="36"/>
      <c r="AD30" s="36"/>
      <c r="AE30" s="36"/>
      <c r="AF30" s="36"/>
      <c r="AG30" s="36"/>
      <c r="AH30" s="36"/>
    </row>
    <row r="31" ht="15.75" customHeight="1">
      <c r="A31" s="17" t="s">
        <v>27</v>
      </c>
      <c r="B31" s="28">
        <v>46008.0</v>
      </c>
      <c r="C31" s="10" t="s">
        <v>23</v>
      </c>
      <c r="D31" s="10" t="s">
        <v>25</v>
      </c>
      <c r="E31" s="10" t="s">
        <v>25</v>
      </c>
      <c r="F31" s="10" t="s">
        <v>25</v>
      </c>
      <c r="G31" s="10" t="s">
        <v>25</v>
      </c>
      <c r="H31" s="10" t="s">
        <v>24</v>
      </c>
      <c r="I31" s="10" t="s">
        <v>24</v>
      </c>
      <c r="J31" s="10" t="s">
        <v>24</v>
      </c>
      <c r="K31" s="10" t="s">
        <v>24</v>
      </c>
      <c r="L31" s="10" t="s">
        <v>25</v>
      </c>
      <c r="M31" s="10" t="s">
        <v>24</v>
      </c>
      <c r="N31" s="10" t="s">
        <v>24</v>
      </c>
      <c r="O31" s="10" t="s">
        <v>25</v>
      </c>
      <c r="P31" s="10"/>
      <c r="Q31" s="10"/>
      <c r="R31" s="10"/>
      <c r="S31" s="10"/>
      <c r="AB31" s="35"/>
      <c r="AC31" s="35"/>
      <c r="AD31" s="35"/>
      <c r="AE31" s="35"/>
      <c r="AF31" s="35"/>
      <c r="AG31" s="35"/>
      <c r="AH31" s="35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AB32" s="36"/>
      <c r="AC32" s="36"/>
      <c r="AD32" s="36"/>
      <c r="AE32" s="36"/>
      <c r="AF32" s="36"/>
      <c r="AG32" s="36"/>
      <c r="AH32" s="36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AB33" s="35"/>
      <c r="AC33" s="35"/>
      <c r="AD33" s="35"/>
      <c r="AE33" s="35"/>
      <c r="AF33" s="35"/>
      <c r="AG33" s="35"/>
      <c r="AH33" s="35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AB34" s="36"/>
      <c r="AC34" s="36"/>
      <c r="AD34" s="36"/>
      <c r="AE34" s="36"/>
      <c r="AF34" s="36"/>
      <c r="AG34" s="36"/>
      <c r="AH34" s="36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AB35" s="35"/>
      <c r="AC35" s="35"/>
      <c r="AD35" s="35"/>
      <c r="AE35" s="35"/>
      <c r="AF35" s="35"/>
      <c r="AG35" s="35"/>
      <c r="AH35" s="35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AB36" s="36"/>
      <c r="AC36" s="36"/>
      <c r="AD36" s="36"/>
      <c r="AE36" s="36"/>
      <c r="AF36" s="36"/>
      <c r="AG36" s="36"/>
      <c r="AH36" s="36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AB37" s="35"/>
      <c r="AC37" s="35"/>
      <c r="AD37" s="35"/>
      <c r="AE37" s="35"/>
      <c r="AF37" s="35"/>
      <c r="AG37" s="35"/>
      <c r="AH37" s="35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AB38" s="36"/>
      <c r="AC38" s="36"/>
      <c r="AD38" s="36"/>
      <c r="AE38" s="36"/>
      <c r="AF38" s="36"/>
      <c r="AG38" s="36"/>
      <c r="AH38" s="36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AB39" s="35"/>
      <c r="AC39" s="35"/>
      <c r="AD39" s="35"/>
      <c r="AE39" s="35"/>
      <c r="AF39" s="35"/>
      <c r="AG39" s="35"/>
      <c r="AH39" s="35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AB40" s="36"/>
      <c r="AC40" s="36"/>
      <c r="AD40" s="36"/>
      <c r="AE40" s="36"/>
      <c r="AF40" s="36"/>
      <c r="AG40" s="36"/>
      <c r="AH40" s="36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AB41" s="35"/>
      <c r="AC41" s="35"/>
      <c r="AD41" s="35"/>
      <c r="AE41" s="35"/>
      <c r="AF41" s="35"/>
      <c r="AG41" s="35"/>
      <c r="AH41" s="35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AB42" s="36"/>
      <c r="AC42" s="36"/>
      <c r="AD42" s="36"/>
      <c r="AE42" s="36"/>
      <c r="AF42" s="36"/>
      <c r="AG42" s="36"/>
      <c r="AH42" s="36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AB43" s="35"/>
      <c r="AC43" s="35"/>
      <c r="AD43" s="35"/>
      <c r="AE43" s="35"/>
      <c r="AF43" s="35"/>
      <c r="AG43" s="35"/>
      <c r="AH43" s="35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AB44" s="36"/>
      <c r="AC44" s="36"/>
      <c r="AD44" s="36"/>
      <c r="AE44" s="36"/>
      <c r="AF44" s="36"/>
      <c r="AG44" s="36"/>
      <c r="AH44" s="36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AB45" s="35"/>
      <c r="AC45" s="35"/>
      <c r="AD45" s="35"/>
      <c r="AE45" s="35"/>
      <c r="AF45" s="35"/>
      <c r="AG45" s="35"/>
      <c r="AH45" s="35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5.63"/>
    <col customWidth="1" min="5" max="5" width="7.13"/>
    <col customWidth="1" min="6" max="6" width="10.0"/>
    <col customWidth="1" min="7" max="7" width="9.38"/>
    <col customWidth="1" min="8" max="8" width="16.38"/>
    <col customWidth="1" min="9" max="9" width="8.38"/>
    <col customWidth="1" min="10" max="10" width="11.38"/>
    <col customWidth="1" min="11" max="11" width="7.13"/>
    <col customWidth="1" min="12" max="12" width="7.25"/>
    <col customWidth="1" min="13" max="13" width="7.75"/>
    <col customWidth="1" min="14" max="14" width="7.38"/>
    <col customWidth="1" min="15" max="15" width="6.75"/>
    <col customWidth="1" min="16" max="16" width="5.63"/>
    <col customWidth="1" min="17" max="17" width="7.0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/>
      <c r="S2" s="8"/>
      <c r="AB2" s="37"/>
      <c r="AC2" s="37"/>
      <c r="AD2" s="37"/>
      <c r="AE2" s="37"/>
      <c r="AF2" s="37"/>
      <c r="AG2" s="37"/>
      <c r="AH2" s="37"/>
    </row>
    <row r="3" ht="15.75" customHeight="1">
      <c r="A3" s="9" t="s">
        <v>9</v>
      </c>
      <c r="B3" s="5"/>
      <c r="C3" s="10"/>
      <c r="D3" s="11">
        <v>177.0</v>
      </c>
      <c r="E3" s="11">
        <v>54.0</v>
      </c>
      <c r="F3" s="11">
        <v>440.0</v>
      </c>
      <c r="G3" s="11">
        <v>288.0</v>
      </c>
      <c r="H3" s="11">
        <v>240.0</v>
      </c>
      <c r="I3" s="11">
        <v>265.0</v>
      </c>
      <c r="J3" s="11">
        <v>429.0</v>
      </c>
      <c r="K3" s="11">
        <v>77.0</v>
      </c>
      <c r="L3" s="11">
        <v>246.0</v>
      </c>
      <c r="M3" s="11">
        <v>251.0</v>
      </c>
      <c r="N3" s="11">
        <v>55.0</v>
      </c>
      <c r="O3" s="11">
        <v>195.0</v>
      </c>
      <c r="P3" s="11">
        <v>162.0</v>
      </c>
      <c r="Q3" s="11">
        <v>451.0</v>
      </c>
      <c r="R3" s="11"/>
      <c r="S3" s="11"/>
      <c r="AB3" s="35"/>
      <c r="AC3" s="35"/>
      <c r="AD3" s="35"/>
      <c r="AE3" s="35"/>
      <c r="AF3" s="35"/>
      <c r="AG3" s="35"/>
      <c r="AH3" s="35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Q8" si="1">D9/$C$14*100</f>
        <v>40</v>
      </c>
      <c r="E8" s="22">
        <f t="shared" si="1"/>
        <v>13.33333333</v>
      </c>
      <c r="F8" s="22">
        <f t="shared" si="1"/>
        <v>40</v>
      </c>
      <c r="G8" s="22">
        <f t="shared" si="1"/>
        <v>26.66666667</v>
      </c>
      <c r="H8" s="22">
        <f t="shared" si="1"/>
        <v>73.33333333</v>
      </c>
      <c r="I8" s="22">
        <f t="shared" si="1"/>
        <v>53.33333333</v>
      </c>
      <c r="J8" s="22">
        <f t="shared" si="1"/>
        <v>26.66666667</v>
      </c>
      <c r="K8" s="22">
        <f t="shared" si="1"/>
        <v>20</v>
      </c>
      <c r="L8" s="22">
        <f t="shared" si="1"/>
        <v>13.33333333</v>
      </c>
      <c r="M8" s="22">
        <f t="shared" si="1"/>
        <v>20</v>
      </c>
      <c r="N8" s="22">
        <f t="shared" si="1"/>
        <v>0</v>
      </c>
      <c r="O8" s="22">
        <f t="shared" si="1"/>
        <v>40</v>
      </c>
      <c r="P8" s="22">
        <f t="shared" si="1"/>
        <v>13.33333333</v>
      </c>
      <c r="Q8" s="22">
        <f t="shared" si="1"/>
        <v>86.66666667</v>
      </c>
      <c r="R8" s="22"/>
      <c r="S8" s="22"/>
    </row>
    <row r="9" ht="15.75" customHeight="1">
      <c r="A9" s="9" t="s">
        <v>15</v>
      </c>
      <c r="B9" s="5"/>
      <c r="C9" s="10"/>
      <c r="D9" s="11">
        <f t="shared" ref="D9:Q9" si="2">COUNTIF(D15:D44, "P")</f>
        <v>6</v>
      </c>
      <c r="E9" s="11">
        <f t="shared" si="2"/>
        <v>2</v>
      </c>
      <c r="F9" s="11">
        <f t="shared" si="2"/>
        <v>6</v>
      </c>
      <c r="G9" s="11">
        <f t="shared" si="2"/>
        <v>4</v>
      </c>
      <c r="H9" s="11">
        <f t="shared" si="2"/>
        <v>11</v>
      </c>
      <c r="I9" s="11">
        <f t="shared" si="2"/>
        <v>8</v>
      </c>
      <c r="J9" s="11">
        <f t="shared" si="2"/>
        <v>4</v>
      </c>
      <c r="K9" s="11">
        <f t="shared" si="2"/>
        <v>3</v>
      </c>
      <c r="L9" s="11">
        <f t="shared" si="2"/>
        <v>2</v>
      </c>
      <c r="M9" s="11">
        <f t="shared" si="2"/>
        <v>3</v>
      </c>
      <c r="N9" s="11">
        <f t="shared" si="2"/>
        <v>0</v>
      </c>
      <c r="O9" s="11">
        <f t="shared" si="2"/>
        <v>6</v>
      </c>
      <c r="P9" s="11">
        <f t="shared" si="2"/>
        <v>2</v>
      </c>
      <c r="Q9" s="11">
        <f t="shared" si="2"/>
        <v>13</v>
      </c>
      <c r="R9" s="11"/>
      <c r="S9" s="11"/>
    </row>
    <row r="10" ht="15.75" customHeight="1">
      <c r="A10" s="12" t="s">
        <v>16</v>
      </c>
      <c r="B10" s="5"/>
      <c r="C10" s="13"/>
      <c r="D10" s="14">
        <f t="shared" ref="D10:Q10" si="3">COUNTIF(D15:D45, "A")</f>
        <v>9</v>
      </c>
      <c r="E10" s="14">
        <f t="shared" si="3"/>
        <v>13</v>
      </c>
      <c r="F10" s="14">
        <f t="shared" si="3"/>
        <v>9</v>
      </c>
      <c r="G10" s="14">
        <f t="shared" si="3"/>
        <v>11</v>
      </c>
      <c r="H10" s="14">
        <f t="shared" si="3"/>
        <v>4</v>
      </c>
      <c r="I10" s="14">
        <f t="shared" si="3"/>
        <v>7</v>
      </c>
      <c r="J10" s="14">
        <f t="shared" si="3"/>
        <v>11</v>
      </c>
      <c r="K10" s="14">
        <f t="shared" si="3"/>
        <v>12</v>
      </c>
      <c r="L10" s="14">
        <f t="shared" si="3"/>
        <v>11</v>
      </c>
      <c r="M10" s="14">
        <f t="shared" si="3"/>
        <v>10</v>
      </c>
      <c r="N10" s="14">
        <f t="shared" si="3"/>
        <v>13</v>
      </c>
      <c r="O10" s="14">
        <f t="shared" si="3"/>
        <v>7</v>
      </c>
      <c r="P10" s="14">
        <f t="shared" si="3"/>
        <v>11</v>
      </c>
      <c r="Q10" s="14">
        <f t="shared" si="3"/>
        <v>0</v>
      </c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46</v>
      </c>
      <c r="E14" s="27" t="s">
        <v>47</v>
      </c>
      <c r="F14" s="27" t="s">
        <v>48</v>
      </c>
      <c r="G14" s="27" t="s">
        <v>49</v>
      </c>
      <c r="H14" s="27" t="s">
        <v>50</v>
      </c>
      <c r="I14" s="27" t="s">
        <v>51</v>
      </c>
      <c r="J14" s="27" t="s">
        <v>52</v>
      </c>
      <c r="K14" s="27" t="s">
        <v>53</v>
      </c>
      <c r="L14" s="27" t="s">
        <v>54</v>
      </c>
      <c r="M14" s="27" t="s">
        <v>55</v>
      </c>
      <c r="N14" s="27" t="s">
        <v>56</v>
      </c>
      <c r="O14" s="27" t="s">
        <v>57</v>
      </c>
      <c r="P14" s="27" t="s">
        <v>58</v>
      </c>
      <c r="Q14" s="27" t="s">
        <v>59</v>
      </c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24</v>
      </c>
      <c r="G15" s="29" t="s">
        <v>24</v>
      </c>
      <c r="H15" s="29" t="s">
        <v>25</v>
      </c>
      <c r="I15" s="29" t="s">
        <v>25</v>
      </c>
      <c r="J15" s="29" t="s">
        <v>24</v>
      </c>
      <c r="K15" s="29" t="s">
        <v>24</v>
      </c>
      <c r="L15" s="29" t="s">
        <v>24</v>
      </c>
      <c r="M15" s="29" t="s">
        <v>24</v>
      </c>
      <c r="N15" s="29" t="s">
        <v>24</v>
      </c>
      <c r="O15" s="29" t="s">
        <v>24</v>
      </c>
      <c r="P15" s="29" t="s">
        <v>24</v>
      </c>
      <c r="Q15" s="29" t="s">
        <v>25</v>
      </c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24</v>
      </c>
      <c r="E16" s="21" t="s">
        <v>24</v>
      </c>
      <c r="F16" s="21" t="s">
        <v>24</v>
      </c>
      <c r="G16" s="21" t="s">
        <v>24</v>
      </c>
      <c r="H16" s="21" t="s">
        <v>25</v>
      </c>
      <c r="I16" s="21" t="s">
        <v>25</v>
      </c>
      <c r="J16" s="21" t="s">
        <v>25</v>
      </c>
      <c r="K16" s="21" t="s">
        <v>24</v>
      </c>
      <c r="L16" s="21" t="s">
        <v>24</v>
      </c>
      <c r="M16" s="21" t="s">
        <v>24</v>
      </c>
      <c r="N16" s="21" t="s">
        <v>24</v>
      </c>
      <c r="O16" s="21" t="s">
        <v>25</v>
      </c>
      <c r="P16" s="21" t="s">
        <v>24</v>
      </c>
      <c r="Q16" s="21" t="s">
        <v>25</v>
      </c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24</v>
      </c>
      <c r="F17" s="29" t="s">
        <v>24</v>
      </c>
      <c r="G17" s="29" t="s">
        <v>24</v>
      </c>
      <c r="H17" s="29" t="s">
        <v>25</v>
      </c>
      <c r="I17" s="29" t="s">
        <v>24</v>
      </c>
      <c r="J17" s="29" t="s">
        <v>24</v>
      </c>
      <c r="K17" s="29" t="s">
        <v>24</v>
      </c>
      <c r="L17" s="29" t="s">
        <v>24</v>
      </c>
      <c r="M17" s="29" t="s">
        <v>25</v>
      </c>
      <c r="N17" s="29" t="s">
        <v>24</v>
      </c>
      <c r="O17" s="29" t="s">
        <v>25</v>
      </c>
      <c r="P17" s="29" t="s">
        <v>24</v>
      </c>
      <c r="Q17" s="29" t="s">
        <v>25</v>
      </c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24</v>
      </c>
      <c r="F18" s="21" t="s">
        <v>24</v>
      </c>
      <c r="G18" s="21" t="s">
        <v>24</v>
      </c>
      <c r="H18" s="21" t="s">
        <v>24</v>
      </c>
      <c r="I18" s="21" t="s">
        <v>24</v>
      </c>
      <c r="J18" s="21" t="s">
        <v>25</v>
      </c>
      <c r="K18" s="21" t="s">
        <v>24</v>
      </c>
      <c r="L18" s="21" t="s">
        <v>24</v>
      </c>
      <c r="M18" s="21" t="s">
        <v>25</v>
      </c>
      <c r="N18" s="21" t="s">
        <v>24</v>
      </c>
      <c r="O18" s="21" t="s">
        <v>25</v>
      </c>
      <c r="P18" s="21" t="s">
        <v>24</v>
      </c>
      <c r="Q18" s="21" t="s">
        <v>25</v>
      </c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24</v>
      </c>
      <c r="E19" s="29" t="s">
        <v>24</v>
      </c>
      <c r="F19" s="29" t="s">
        <v>25</v>
      </c>
      <c r="G19" s="29" t="s">
        <v>24</v>
      </c>
      <c r="H19" s="29" t="s">
        <v>24</v>
      </c>
      <c r="I19" s="29" t="s">
        <v>25</v>
      </c>
      <c r="J19" s="29" t="s">
        <v>24</v>
      </c>
      <c r="K19" s="29" t="s">
        <v>24</v>
      </c>
      <c r="L19" s="29" t="s">
        <v>24</v>
      </c>
      <c r="M19" s="29" t="s">
        <v>25</v>
      </c>
      <c r="N19" s="29" t="s">
        <v>24</v>
      </c>
      <c r="O19" s="29" t="s">
        <v>25</v>
      </c>
      <c r="P19" s="29" t="s">
        <v>24</v>
      </c>
      <c r="Q19" s="29" t="s">
        <v>25</v>
      </c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24</v>
      </c>
      <c r="F20" s="21" t="s">
        <v>25</v>
      </c>
      <c r="G20" s="21" t="s">
        <v>25</v>
      </c>
      <c r="H20" s="21" t="s">
        <v>24</v>
      </c>
      <c r="I20" s="21" t="s">
        <v>25</v>
      </c>
      <c r="J20" s="21" t="s">
        <v>24</v>
      </c>
      <c r="K20" s="21" t="s">
        <v>25</v>
      </c>
      <c r="L20" s="21" t="s">
        <v>25</v>
      </c>
      <c r="M20" s="21" t="s">
        <v>24</v>
      </c>
      <c r="N20" s="21" t="s">
        <v>24</v>
      </c>
      <c r="O20" s="21" t="s">
        <v>25</v>
      </c>
      <c r="P20" s="21" t="s">
        <v>25</v>
      </c>
      <c r="Q20" s="21" t="s">
        <v>25</v>
      </c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24</v>
      </c>
      <c r="F21" s="29" t="s">
        <v>25</v>
      </c>
      <c r="G21" s="29" t="s">
        <v>25</v>
      </c>
      <c r="H21" s="29" t="s">
        <v>25</v>
      </c>
      <c r="I21" s="29" t="s">
        <v>25</v>
      </c>
      <c r="J21" s="29" t="s">
        <v>24</v>
      </c>
      <c r="K21" s="29" t="s">
        <v>25</v>
      </c>
      <c r="L21" s="29" t="s">
        <v>25</v>
      </c>
      <c r="M21" s="29" t="s">
        <v>24</v>
      </c>
      <c r="N21" s="29" t="s">
        <v>24</v>
      </c>
      <c r="O21" s="29" t="s">
        <v>25</v>
      </c>
      <c r="P21" s="29" t="s">
        <v>25</v>
      </c>
      <c r="Q21" s="29" t="s">
        <v>25</v>
      </c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24</v>
      </c>
      <c r="F22" s="21" t="s">
        <v>24</v>
      </c>
      <c r="G22" s="21" t="s">
        <v>24</v>
      </c>
      <c r="H22" s="21" t="s">
        <v>25</v>
      </c>
      <c r="I22" s="21" t="s">
        <v>24</v>
      </c>
      <c r="J22" s="21" t="s">
        <v>24</v>
      </c>
      <c r="K22" s="21" t="s">
        <v>24</v>
      </c>
      <c r="L22" s="21" t="s">
        <v>24</v>
      </c>
      <c r="M22" s="21" t="s">
        <v>24</v>
      </c>
      <c r="N22" s="21" t="s">
        <v>24</v>
      </c>
      <c r="O22" s="21" t="s">
        <v>24</v>
      </c>
      <c r="P22" s="21" t="s">
        <v>24</v>
      </c>
      <c r="Q22" s="21" t="s">
        <v>25</v>
      </c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24</v>
      </c>
      <c r="F23" s="29" t="s">
        <v>24</v>
      </c>
      <c r="G23" s="29" t="s">
        <v>24</v>
      </c>
      <c r="H23" s="29" t="s">
        <v>25</v>
      </c>
      <c r="I23" s="29" t="s">
        <v>25</v>
      </c>
      <c r="J23" s="29" t="s">
        <v>24</v>
      </c>
      <c r="K23" s="29" t="s">
        <v>24</v>
      </c>
      <c r="L23" s="29" t="s">
        <v>24</v>
      </c>
      <c r="M23" s="29" t="s">
        <v>24</v>
      </c>
      <c r="N23" s="29" t="s">
        <v>24</v>
      </c>
      <c r="O23" s="29" t="s">
        <v>24</v>
      </c>
      <c r="P23" s="29" t="s">
        <v>24</v>
      </c>
      <c r="Q23" s="29" t="s">
        <v>25</v>
      </c>
      <c r="R23" s="29"/>
      <c r="S23" s="10"/>
      <c r="AB23" s="35"/>
      <c r="AC23" s="35"/>
      <c r="AD23" s="35"/>
      <c r="AE23" s="35"/>
      <c r="AF23" s="35"/>
      <c r="AG23" s="35"/>
      <c r="AH23" s="35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24</v>
      </c>
      <c r="F24" s="21" t="s">
        <v>24</v>
      </c>
      <c r="G24" s="21" t="s">
        <v>24</v>
      </c>
      <c r="H24" s="21" t="s">
        <v>25</v>
      </c>
      <c r="I24" s="21" t="s">
        <v>25</v>
      </c>
      <c r="J24" s="21" t="s">
        <v>24</v>
      </c>
      <c r="K24" s="21" t="s">
        <v>24</v>
      </c>
      <c r="L24" s="21" t="s">
        <v>24</v>
      </c>
      <c r="M24" s="21" t="s">
        <v>24</v>
      </c>
      <c r="N24" s="21" t="s">
        <v>24</v>
      </c>
      <c r="O24" s="21" t="s">
        <v>24</v>
      </c>
      <c r="P24" s="21" t="s">
        <v>24</v>
      </c>
      <c r="Q24" s="21" t="s">
        <v>25</v>
      </c>
      <c r="R24" s="21"/>
      <c r="S24" s="13"/>
      <c r="AB24" s="36"/>
      <c r="AC24" s="36"/>
      <c r="AD24" s="36"/>
      <c r="AE24" s="36"/>
      <c r="AF24" s="36"/>
      <c r="AG24" s="36"/>
      <c r="AH24" s="36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 t="s">
        <v>24</v>
      </c>
      <c r="H25" s="29" t="s">
        <v>25</v>
      </c>
      <c r="I25" s="29" t="s">
        <v>25</v>
      </c>
      <c r="J25" s="29" t="s">
        <v>24</v>
      </c>
      <c r="K25" s="29" t="s">
        <v>24</v>
      </c>
      <c r="L25" s="29" t="s">
        <v>24</v>
      </c>
      <c r="M25" s="29" t="s">
        <v>24</v>
      </c>
      <c r="N25" s="29" t="s">
        <v>24</v>
      </c>
      <c r="O25" s="29" t="s">
        <v>24</v>
      </c>
      <c r="P25" s="29" t="s">
        <v>24</v>
      </c>
      <c r="Q25" s="29" t="s">
        <v>25</v>
      </c>
      <c r="R25" s="29"/>
      <c r="S25" s="10"/>
      <c r="AB25" s="35"/>
      <c r="AC25" s="35"/>
      <c r="AD25" s="35"/>
      <c r="AE25" s="35"/>
      <c r="AF25" s="35"/>
      <c r="AG25" s="35"/>
      <c r="AH25" s="35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25</v>
      </c>
      <c r="G26" s="21" t="s">
        <v>24</v>
      </c>
      <c r="H26" s="21" t="s">
        <v>25</v>
      </c>
      <c r="I26" s="21" t="s">
        <v>24</v>
      </c>
      <c r="J26" s="21" t="s">
        <v>24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24</v>
      </c>
      <c r="P26" s="21" t="s">
        <v>24</v>
      </c>
      <c r="Q26" s="21" t="s">
        <v>25</v>
      </c>
      <c r="R26" s="21"/>
      <c r="S26" s="13"/>
      <c r="AB26" s="36"/>
      <c r="AC26" s="36"/>
      <c r="AD26" s="36"/>
      <c r="AE26" s="36"/>
      <c r="AF26" s="36"/>
      <c r="AG26" s="36"/>
      <c r="AH26" s="36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  <c r="AB27" s="35"/>
      <c r="AC27" s="35"/>
      <c r="AD27" s="35"/>
      <c r="AE27" s="35"/>
      <c r="AF27" s="35"/>
      <c r="AG27" s="35"/>
      <c r="AH27" s="35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  <c r="AB28" s="36"/>
      <c r="AC28" s="36"/>
      <c r="AD28" s="36"/>
      <c r="AE28" s="36"/>
      <c r="AF28" s="36"/>
      <c r="AG28" s="36"/>
      <c r="AH28" s="36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25</v>
      </c>
      <c r="E29" s="29" t="s">
        <v>24</v>
      </c>
      <c r="F29" s="29" t="s">
        <v>24</v>
      </c>
      <c r="G29" s="29" t="s">
        <v>24</v>
      </c>
      <c r="H29" s="29" t="s">
        <v>25</v>
      </c>
      <c r="I29" s="29" t="s">
        <v>24</v>
      </c>
      <c r="J29" s="29" t="s">
        <v>24</v>
      </c>
      <c r="K29" s="29" t="s">
        <v>24</v>
      </c>
      <c r="L29" s="29" t="s">
        <v>24</v>
      </c>
      <c r="M29" s="29" t="s">
        <v>24</v>
      </c>
      <c r="N29" s="29" t="s">
        <v>24</v>
      </c>
      <c r="O29" s="29" t="s">
        <v>24</v>
      </c>
      <c r="P29" s="29" t="s">
        <v>24</v>
      </c>
      <c r="Q29" s="29" t="s">
        <v>25</v>
      </c>
      <c r="R29" s="29"/>
      <c r="S29" s="10"/>
      <c r="AB29" s="35"/>
      <c r="AC29" s="35"/>
      <c r="AD29" s="35"/>
      <c r="AE29" s="35"/>
      <c r="AF29" s="35"/>
      <c r="AG29" s="35"/>
      <c r="AH29" s="35"/>
    </row>
    <row r="30" ht="15.75" customHeight="1">
      <c r="A30" s="15" t="s">
        <v>26</v>
      </c>
      <c r="B30" s="30">
        <v>46007.0</v>
      </c>
      <c r="C30" s="13" t="s">
        <v>23</v>
      </c>
      <c r="D30" s="13" t="s">
        <v>25</v>
      </c>
      <c r="E30" s="13" t="s">
        <v>24</v>
      </c>
      <c r="F30" s="13" t="s">
        <v>25</v>
      </c>
      <c r="G30" s="13" t="s">
        <v>25</v>
      </c>
      <c r="H30" s="13" t="s">
        <v>25</v>
      </c>
      <c r="I30" s="13" t="s">
        <v>24</v>
      </c>
      <c r="J30" s="13" t="s">
        <v>25</v>
      </c>
      <c r="K30" s="13" t="s">
        <v>25</v>
      </c>
      <c r="L30" s="13"/>
      <c r="M30" s="13"/>
      <c r="N30" s="13"/>
      <c r="O30" s="13"/>
      <c r="P30" s="13"/>
      <c r="Q30" s="13"/>
      <c r="R30" s="13"/>
      <c r="S30" s="13"/>
      <c r="AB30" s="36"/>
      <c r="AC30" s="36"/>
      <c r="AD30" s="36"/>
      <c r="AE30" s="36"/>
      <c r="AF30" s="36"/>
      <c r="AG30" s="36"/>
      <c r="AH30" s="36"/>
    </row>
    <row r="31" ht="15.75" customHeight="1">
      <c r="A31" s="17" t="s">
        <v>27</v>
      </c>
      <c r="B31" s="28">
        <v>46008.0</v>
      </c>
      <c r="C31" s="10" t="s">
        <v>23</v>
      </c>
      <c r="D31" s="10" t="s">
        <v>24</v>
      </c>
      <c r="E31" s="10" t="s">
        <v>25</v>
      </c>
      <c r="F31" s="10" t="s">
        <v>24</v>
      </c>
      <c r="G31" s="10" t="s">
        <v>25</v>
      </c>
      <c r="H31" s="10" t="s">
        <v>24</v>
      </c>
      <c r="I31" s="10" t="s">
        <v>24</v>
      </c>
      <c r="J31" s="10" t="s">
        <v>25</v>
      </c>
      <c r="K31" s="10" t="s">
        <v>24</v>
      </c>
      <c r="L31" s="10"/>
      <c r="M31" s="10"/>
      <c r="N31" s="10"/>
      <c r="O31" s="10"/>
      <c r="P31" s="10"/>
      <c r="Q31" s="10"/>
      <c r="R31" s="10"/>
      <c r="S31" s="10"/>
      <c r="AB31" s="35"/>
      <c r="AC31" s="35"/>
      <c r="AD31" s="35"/>
      <c r="AE31" s="35"/>
      <c r="AF31" s="35"/>
      <c r="AG31" s="35"/>
      <c r="AH31" s="35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AB32" s="36"/>
      <c r="AC32" s="36"/>
      <c r="AD32" s="36"/>
      <c r="AE32" s="36"/>
      <c r="AF32" s="36"/>
      <c r="AG32" s="36"/>
      <c r="AH32" s="36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AB33" s="35"/>
      <c r="AC33" s="35"/>
      <c r="AD33" s="35"/>
      <c r="AE33" s="35"/>
      <c r="AF33" s="35"/>
      <c r="AG33" s="35"/>
      <c r="AH33" s="35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AB34" s="36"/>
      <c r="AC34" s="36"/>
      <c r="AD34" s="36"/>
      <c r="AE34" s="36"/>
      <c r="AF34" s="36"/>
      <c r="AG34" s="36"/>
      <c r="AH34" s="36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AB35" s="35"/>
      <c r="AC35" s="35"/>
      <c r="AD35" s="35"/>
      <c r="AE35" s="35"/>
      <c r="AF35" s="35"/>
      <c r="AG35" s="35"/>
      <c r="AH35" s="35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AB36" s="36"/>
      <c r="AC36" s="36"/>
      <c r="AD36" s="36"/>
      <c r="AE36" s="36"/>
      <c r="AF36" s="36"/>
      <c r="AG36" s="36"/>
      <c r="AH36" s="36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AB37" s="35"/>
      <c r="AC37" s="35"/>
      <c r="AD37" s="35"/>
      <c r="AE37" s="35"/>
      <c r="AF37" s="35"/>
      <c r="AG37" s="35"/>
      <c r="AH37" s="35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AB38" s="36"/>
      <c r="AC38" s="36"/>
      <c r="AD38" s="36"/>
      <c r="AE38" s="36"/>
      <c r="AF38" s="36"/>
      <c r="AG38" s="36"/>
      <c r="AH38" s="36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AB39" s="35"/>
      <c r="AC39" s="35"/>
      <c r="AD39" s="35"/>
      <c r="AE39" s="35"/>
      <c r="AF39" s="35"/>
      <c r="AG39" s="35"/>
      <c r="AH39" s="35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AB40" s="36"/>
      <c r="AC40" s="36"/>
      <c r="AD40" s="36"/>
      <c r="AE40" s="36"/>
      <c r="AF40" s="36"/>
      <c r="AG40" s="36"/>
      <c r="AH40" s="36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AB41" s="35"/>
      <c r="AC41" s="35"/>
      <c r="AD41" s="35"/>
      <c r="AE41" s="35"/>
      <c r="AF41" s="35"/>
      <c r="AG41" s="35"/>
      <c r="AH41" s="35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AB42" s="36"/>
      <c r="AC42" s="36"/>
      <c r="AD42" s="36"/>
      <c r="AE42" s="36"/>
      <c r="AF42" s="36"/>
      <c r="AG42" s="36"/>
      <c r="AH42" s="36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AB43" s="35"/>
      <c r="AC43" s="35"/>
      <c r="AD43" s="35"/>
      <c r="AE43" s="35"/>
      <c r="AF43" s="35"/>
      <c r="AG43" s="35"/>
      <c r="AH43" s="35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AB44" s="36"/>
      <c r="AC44" s="36"/>
      <c r="AD44" s="36"/>
      <c r="AE44" s="36"/>
      <c r="AF44" s="36"/>
      <c r="AG44" s="36"/>
      <c r="AH44" s="36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AB45" s="35"/>
      <c r="AC45" s="35"/>
      <c r="AD45" s="35"/>
      <c r="AE45" s="35"/>
      <c r="AF45" s="35"/>
      <c r="AG45" s="35"/>
      <c r="AH45" s="35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9.0"/>
    <col customWidth="1" min="5" max="5" width="14.38"/>
    <col customWidth="1" min="6" max="6" width="15.5"/>
    <col customWidth="1" min="7" max="7" width="17.75"/>
    <col customWidth="1" min="8" max="8" width="8.25"/>
    <col customWidth="1" min="9" max="9" width="12.0"/>
    <col customWidth="1" min="10" max="10" width="9.13"/>
    <col customWidth="1" min="11" max="11" width="7.5"/>
    <col customWidth="1" min="12" max="12" width="9.63"/>
    <col customWidth="1" min="13" max="13" width="9.0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60</v>
      </c>
      <c r="E2" s="7" t="s">
        <v>61</v>
      </c>
      <c r="F2" s="7" t="s">
        <v>62</v>
      </c>
      <c r="G2" s="7" t="s">
        <v>63</v>
      </c>
      <c r="H2" s="7" t="s">
        <v>64</v>
      </c>
      <c r="I2" s="7" t="s">
        <v>65</v>
      </c>
      <c r="J2" s="7" t="s">
        <v>8</v>
      </c>
      <c r="K2" s="7" t="s">
        <v>66</v>
      </c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170.0</v>
      </c>
      <c r="E3" s="11">
        <v>255.0</v>
      </c>
      <c r="F3" s="11">
        <v>364.0</v>
      </c>
      <c r="G3" s="11">
        <v>273.0</v>
      </c>
      <c r="H3" s="11">
        <v>186.0</v>
      </c>
      <c r="I3" s="11">
        <v>257.0</v>
      </c>
      <c r="J3" s="11">
        <v>128.0</v>
      </c>
      <c r="K3" s="11">
        <v>286.0</v>
      </c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K8" si="1">D9/$C$14*100</f>
        <v>40</v>
      </c>
      <c r="E8" s="22">
        <f t="shared" si="1"/>
        <v>33.33333333</v>
      </c>
      <c r="F8" s="22">
        <f t="shared" si="1"/>
        <v>46.66666667</v>
      </c>
      <c r="G8" s="22">
        <f t="shared" si="1"/>
        <v>80</v>
      </c>
      <c r="H8" s="22">
        <f t="shared" si="1"/>
        <v>66.66666667</v>
      </c>
      <c r="I8" s="22">
        <f t="shared" si="1"/>
        <v>60</v>
      </c>
      <c r="J8" s="22">
        <f t="shared" si="1"/>
        <v>46.66666667</v>
      </c>
      <c r="K8" s="22">
        <f t="shared" si="1"/>
        <v>66.66666667</v>
      </c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K9" si="2">COUNTIF(D15:D44, "P")</f>
        <v>6</v>
      </c>
      <c r="E9" s="11">
        <f t="shared" si="2"/>
        <v>5</v>
      </c>
      <c r="F9" s="11">
        <f t="shared" si="2"/>
        <v>7</v>
      </c>
      <c r="G9" s="11">
        <f t="shared" si="2"/>
        <v>12</v>
      </c>
      <c r="H9" s="11">
        <f t="shared" si="2"/>
        <v>10</v>
      </c>
      <c r="I9" s="11">
        <f t="shared" si="2"/>
        <v>9</v>
      </c>
      <c r="J9" s="11">
        <f t="shared" si="2"/>
        <v>7</v>
      </c>
      <c r="K9" s="11">
        <f t="shared" si="2"/>
        <v>10</v>
      </c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K10" si="3">COUNTIF(D15:D45, "A")</f>
        <v>9</v>
      </c>
      <c r="E10" s="14">
        <f t="shared" si="3"/>
        <v>10</v>
      </c>
      <c r="F10" s="14">
        <f t="shared" si="3"/>
        <v>8</v>
      </c>
      <c r="G10" s="14">
        <f t="shared" si="3"/>
        <v>3</v>
      </c>
      <c r="H10" s="14">
        <f t="shared" si="3"/>
        <v>5</v>
      </c>
      <c r="I10" s="14">
        <f t="shared" si="3"/>
        <v>6</v>
      </c>
      <c r="J10" s="14">
        <f t="shared" si="3"/>
        <v>8</v>
      </c>
      <c r="K10" s="14">
        <f t="shared" si="3"/>
        <v>1</v>
      </c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60</v>
      </c>
      <c r="E14" s="27" t="s">
        <v>61</v>
      </c>
      <c r="F14" s="27" t="s">
        <v>62</v>
      </c>
      <c r="G14" s="27" t="s">
        <v>63</v>
      </c>
      <c r="H14" s="27" t="s">
        <v>64</v>
      </c>
      <c r="I14" s="27" t="s">
        <v>65</v>
      </c>
      <c r="J14" s="27" t="s">
        <v>8</v>
      </c>
      <c r="K14" s="27" t="s">
        <v>66</v>
      </c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25</v>
      </c>
      <c r="E15" s="29" t="s">
        <v>24</v>
      </c>
      <c r="F15" s="29" t="s">
        <v>24</v>
      </c>
      <c r="G15" s="29" t="s">
        <v>25</v>
      </c>
      <c r="H15" s="29" t="s">
        <v>25</v>
      </c>
      <c r="I15" s="29" t="s">
        <v>25</v>
      </c>
      <c r="J15" s="29" t="s">
        <v>24</v>
      </c>
      <c r="K15" s="29" t="s">
        <v>25</v>
      </c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24</v>
      </c>
      <c r="F16" s="21" t="s">
        <v>24</v>
      </c>
      <c r="G16" s="21" t="s">
        <v>25</v>
      </c>
      <c r="H16" s="21" t="s">
        <v>25</v>
      </c>
      <c r="I16" s="21" t="s">
        <v>25</v>
      </c>
      <c r="J16" s="21" t="s">
        <v>24</v>
      </c>
      <c r="K16" s="21" t="s">
        <v>25</v>
      </c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24</v>
      </c>
      <c r="E17" s="29" t="s">
        <v>24</v>
      </c>
      <c r="F17" s="29" t="s">
        <v>25</v>
      </c>
      <c r="G17" s="29" t="s">
        <v>25</v>
      </c>
      <c r="H17" s="29" t="s">
        <v>25</v>
      </c>
      <c r="I17" s="29" t="s">
        <v>25</v>
      </c>
      <c r="J17" s="29" t="s">
        <v>24</v>
      </c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24</v>
      </c>
      <c r="E18" s="21" t="s">
        <v>24</v>
      </c>
      <c r="F18" s="21" t="s">
        <v>24</v>
      </c>
      <c r="G18" s="21" t="s">
        <v>25</v>
      </c>
      <c r="H18" s="21" t="s">
        <v>24</v>
      </c>
      <c r="I18" s="21" t="s">
        <v>25</v>
      </c>
      <c r="J18" s="21" t="s">
        <v>24</v>
      </c>
      <c r="K18" s="21" t="s">
        <v>25</v>
      </c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24</v>
      </c>
      <c r="E19" s="29" t="s">
        <v>24</v>
      </c>
      <c r="F19" s="29" t="s">
        <v>24</v>
      </c>
      <c r="G19" s="29" t="s">
        <v>25</v>
      </c>
      <c r="H19" s="29" t="s">
        <v>25</v>
      </c>
      <c r="I19" s="29" t="s">
        <v>25</v>
      </c>
      <c r="J19" s="29" t="s">
        <v>25</v>
      </c>
      <c r="K19" s="29" t="s">
        <v>25</v>
      </c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24</v>
      </c>
      <c r="E20" s="21" t="s">
        <v>24</v>
      </c>
      <c r="F20" s="21" t="s">
        <v>24</v>
      </c>
      <c r="G20" s="21" t="s">
        <v>25</v>
      </c>
      <c r="H20" s="21" t="s">
        <v>25</v>
      </c>
      <c r="I20" s="21" t="s">
        <v>25</v>
      </c>
      <c r="J20" s="21" t="s">
        <v>24</v>
      </c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24</v>
      </c>
      <c r="E21" s="29" t="s">
        <v>24</v>
      </c>
      <c r="F21" s="29" t="s">
        <v>24</v>
      </c>
      <c r="G21" s="29" t="s">
        <v>25</v>
      </c>
      <c r="H21" s="29" t="s">
        <v>25</v>
      </c>
      <c r="I21" s="29" t="s">
        <v>25</v>
      </c>
      <c r="J21" s="29" t="s">
        <v>24</v>
      </c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25</v>
      </c>
      <c r="E22" s="21" t="s">
        <v>24</v>
      </c>
      <c r="F22" s="21" t="s">
        <v>25</v>
      </c>
      <c r="G22" s="21" t="s">
        <v>24</v>
      </c>
      <c r="H22" s="21" t="s">
        <v>25</v>
      </c>
      <c r="I22" s="21" t="s">
        <v>24</v>
      </c>
      <c r="J22" s="21" t="s">
        <v>25</v>
      </c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25</v>
      </c>
      <c r="F23" s="29" t="s">
        <v>25</v>
      </c>
      <c r="G23" s="29" t="s">
        <v>24</v>
      </c>
      <c r="H23" s="29" t="s">
        <v>25</v>
      </c>
      <c r="I23" s="29" t="s">
        <v>24</v>
      </c>
      <c r="J23" s="29" t="s">
        <v>24</v>
      </c>
      <c r="K23" s="29" t="s">
        <v>25</v>
      </c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25</v>
      </c>
      <c r="G24" s="21" t="s">
        <v>25</v>
      </c>
      <c r="H24" s="21" t="s">
        <v>24</v>
      </c>
      <c r="I24" s="21" t="s">
        <v>25</v>
      </c>
      <c r="J24" s="21" t="s">
        <v>25</v>
      </c>
      <c r="K24" s="21" t="s">
        <v>25</v>
      </c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25</v>
      </c>
      <c r="E25" s="29" t="s">
        <v>25</v>
      </c>
      <c r="F25" s="29" t="s">
        <v>25</v>
      </c>
      <c r="G25" s="29" t="s">
        <v>25</v>
      </c>
      <c r="H25" s="29" t="s">
        <v>25</v>
      </c>
      <c r="I25" s="29" t="s">
        <v>24</v>
      </c>
      <c r="J25" s="29" t="s">
        <v>25</v>
      </c>
      <c r="K25" s="29" t="s">
        <v>25</v>
      </c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24</v>
      </c>
      <c r="G26" s="21" t="s">
        <v>25</v>
      </c>
      <c r="H26" s="21" t="s">
        <v>24</v>
      </c>
      <c r="I26" s="21" t="s">
        <v>24</v>
      </c>
      <c r="J26" s="21" t="s">
        <v>25</v>
      </c>
      <c r="K26" s="21" t="s">
        <v>25</v>
      </c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24</v>
      </c>
      <c r="F29" s="29" t="s">
        <v>25</v>
      </c>
      <c r="G29" s="29" t="s">
        <v>24</v>
      </c>
      <c r="H29" s="29" t="s">
        <v>24</v>
      </c>
      <c r="I29" s="29" t="s">
        <v>25</v>
      </c>
      <c r="J29" s="29" t="s">
        <v>24</v>
      </c>
      <c r="K29" s="29" t="s">
        <v>25</v>
      </c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 t="s">
        <v>25</v>
      </c>
      <c r="E30" s="13" t="s">
        <v>24</v>
      </c>
      <c r="F30" s="13" t="s">
        <v>25</v>
      </c>
      <c r="G30" s="13" t="s">
        <v>25</v>
      </c>
      <c r="H30" s="13" t="s">
        <v>25</v>
      </c>
      <c r="I30" s="13" t="s">
        <v>24</v>
      </c>
      <c r="J30" s="13" t="s">
        <v>25</v>
      </c>
      <c r="K30" s="13" t="s">
        <v>25</v>
      </c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 t="s">
        <v>24</v>
      </c>
      <c r="E31" s="10" t="s">
        <v>25</v>
      </c>
      <c r="F31" s="10" t="s">
        <v>24</v>
      </c>
      <c r="G31" s="10" t="s">
        <v>25</v>
      </c>
      <c r="H31" s="10" t="s">
        <v>24</v>
      </c>
      <c r="I31" s="10" t="s">
        <v>24</v>
      </c>
      <c r="J31" s="10" t="s">
        <v>25</v>
      </c>
      <c r="K31" s="10" t="s">
        <v>24</v>
      </c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9.0"/>
    <col customWidth="1" min="5" max="5" width="14.38"/>
    <col customWidth="1" min="6" max="6" width="15.5"/>
    <col customWidth="1" min="7" max="7" width="17.75"/>
    <col customWidth="1" min="8" max="8" width="8.25"/>
    <col customWidth="1" min="9" max="9" width="12.0"/>
    <col customWidth="1" min="10" max="10" width="9.13"/>
    <col customWidth="1" min="11" max="11" width="7.5"/>
    <col customWidth="1" min="12" max="12" width="9.63"/>
    <col customWidth="1" min="13" max="13" width="9.0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67</v>
      </c>
      <c r="E2" s="7" t="s">
        <v>68</v>
      </c>
      <c r="F2" s="7" t="s">
        <v>69</v>
      </c>
      <c r="G2" s="7" t="s">
        <v>70</v>
      </c>
      <c r="H2" s="7" t="s">
        <v>71</v>
      </c>
      <c r="I2" s="7" t="s">
        <v>72</v>
      </c>
      <c r="J2" s="7" t="s">
        <v>73</v>
      </c>
      <c r="K2" s="7" t="s">
        <v>4</v>
      </c>
      <c r="L2" s="7" t="s">
        <v>74</v>
      </c>
      <c r="M2" s="7" t="s">
        <v>75</v>
      </c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326.0</v>
      </c>
      <c r="E3" s="11">
        <v>362.0</v>
      </c>
      <c r="F3" s="11">
        <v>361.0</v>
      </c>
      <c r="G3" s="11" t="s">
        <v>45</v>
      </c>
      <c r="H3" s="11">
        <v>107.0</v>
      </c>
      <c r="I3" s="11">
        <v>360.0</v>
      </c>
      <c r="J3" s="11">
        <v>174.0</v>
      </c>
      <c r="K3" s="11">
        <v>336.0</v>
      </c>
      <c r="L3" s="11">
        <v>368.0</v>
      </c>
      <c r="M3" s="11" t="s">
        <v>45</v>
      </c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M8" si="1">D9/$C$14*100</f>
        <v>66.66666667</v>
      </c>
      <c r="E8" s="22">
        <f t="shared" si="1"/>
        <v>46.66666667</v>
      </c>
      <c r="F8" s="22">
        <f t="shared" si="1"/>
        <v>46.66666667</v>
      </c>
      <c r="G8" s="22">
        <f t="shared" si="1"/>
        <v>46.66666667</v>
      </c>
      <c r="H8" s="22">
        <f t="shared" si="1"/>
        <v>26.66666667</v>
      </c>
      <c r="I8" s="22">
        <f t="shared" si="1"/>
        <v>53.33333333</v>
      </c>
      <c r="J8" s="22">
        <f t="shared" si="1"/>
        <v>46.66666667</v>
      </c>
      <c r="K8" s="22">
        <f t="shared" si="1"/>
        <v>66.66666667</v>
      </c>
      <c r="L8" s="22">
        <f t="shared" si="1"/>
        <v>60</v>
      </c>
      <c r="M8" s="22">
        <f t="shared" si="1"/>
        <v>53.33333333</v>
      </c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M9" si="2">COUNTIF(D15:D44, "P")</f>
        <v>10</v>
      </c>
      <c r="E9" s="11">
        <f t="shared" si="2"/>
        <v>7</v>
      </c>
      <c r="F9" s="11">
        <f t="shared" si="2"/>
        <v>7</v>
      </c>
      <c r="G9" s="11">
        <f t="shared" si="2"/>
        <v>7</v>
      </c>
      <c r="H9" s="11">
        <f t="shared" si="2"/>
        <v>4</v>
      </c>
      <c r="I9" s="11">
        <f t="shared" si="2"/>
        <v>8</v>
      </c>
      <c r="J9" s="11">
        <f t="shared" si="2"/>
        <v>7</v>
      </c>
      <c r="K9" s="11">
        <f t="shared" si="2"/>
        <v>10</v>
      </c>
      <c r="L9" s="11">
        <f t="shared" si="2"/>
        <v>9</v>
      </c>
      <c r="M9" s="11">
        <f t="shared" si="2"/>
        <v>8</v>
      </c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M10" si="3">COUNTIF(D15:D45, "A")</f>
        <v>2</v>
      </c>
      <c r="E10" s="14">
        <f t="shared" si="3"/>
        <v>5</v>
      </c>
      <c r="F10" s="14">
        <f t="shared" si="3"/>
        <v>5</v>
      </c>
      <c r="G10" s="14">
        <f t="shared" si="3"/>
        <v>5</v>
      </c>
      <c r="H10" s="14">
        <f t="shared" si="3"/>
        <v>7</v>
      </c>
      <c r="I10" s="14">
        <f t="shared" si="3"/>
        <v>3</v>
      </c>
      <c r="J10" s="14">
        <f t="shared" si="3"/>
        <v>4</v>
      </c>
      <c r="K10" s="14">
        <f t="shared" si="3"/>
        <v>1</v>
      </c>
      <c r="L10" s="14">
        <f t="shared" si="3"/>
        <v>3</v>
      </c>
      <c r="M10" s="14">
        <f t="shared" si="3"/>
        <v>2</v>
      </c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67</v>
      </c>
      <c r="E14" s="27" t="s">
        <v>68</v>
      </c>
      <c r="F14" s="27" t="s">
        <v>76</v>
      </c>
      <c r="G14" s="27" t="s">
        <v>70</v>
      </c>
      <c r="H14" s="27" t="s">
        <v>71</v>
      </c>
      <c r="I14" s="27" t="s">
        <v>72</v>
      </c>
      <c r="J14" s="27" t="s">
        <v>73</v>
      </c>
      <c r="K14" s="27" t="s">
        <v>4</v>
      </c>
      <c r="L14" s="27" t="s">
        <v>74</v>
      </c>
      <c r="M14" s="27" t="s">
        <v>75</v>
      </c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25</v>
      </c>
      <c r="E15" s="29" t="s">
        <v>24</v>
      </c>
      <c r="F15" s="29" t="s">
        <v>25</v>
      </c>
      <c r="G15" s="29" t="s">
        <v>25</v>
      </c>
      <c r="H15" s="29" t="s">
        <v>24</v>
      </c>
      <c r="I15" s="29" t="s">
        <v>25</v>
      </c>
      <c r="J15" s="29" t="s">
        <v>24</v>
      </c>
      <c r="K15" s="29" t="s">
        <v>25</v>
      </c>
      <c r="L15" s="29" t="s">
        <v>25</v>
      </c>
      <c r="M15" s="29" t="s">
        <v>24</v>
      </c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25</v>
      </c>
      <c r="J16" s="21" t="s">
        <v>24</v>
      </c>
      <c r="K16" s="21" t="s">
        <v>24</v>
      </c>
      <c r="L16" s="21" t="s">
        <v>25</v>
      </c>
      <c r="M16" s="21" t="s">
        <v>25</v>
      </c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/>
      <c r="E17" s="29"/>
      <c r="F17" s="29"/>
      <c r="G17" s="29"/>
      <c r="H17" s="29" t="s">
        <v>24</v>
      </c>
      <c r="I17" s="29" t="s">
        <v>24</v>
      </c>
      <c r="J17" s="29" t="s">
        <v>25</v>
      </c>
      <c r="K17" s="29" t="s">
        <v>25</v>
      </c>
      <c r="L17" s="29"/>
      <c r="M17" s="29" t="s">
        <v>25</v>
      </c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24</v>
      </c>
      <c r="F18" s="21" t="s">
        <v>25</v>
      </c>
      <c r="G18" s="21" t="s">
        <v>24</v>
      </c>
      <c r="H18" s="21" t="s">
        <v>24</v>
      </c>
      <c r="I18" s="21" t="s">
        <v>24</v>
      </c>
      <c r="J18" s="21" t="s">
        <v>25</v>
      </c>
      <c r="K18" s="21" t="s">
        <v>25</v>
      </c>
      <c r="L18" s="21" t="s">
        <v>25</v>
      </c>
      <c r="M18" s="21" t="s">
        <v>25</v>
      </c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 t="s">
        <v>25</v>
      </c>
      <c r="H19" s="29" t="s">
        <v>24</v>
      </c>
      <c r="I19" s="29" t="s">
        <v>24</v>
      </c>
      <c r="J19" s="29" t="s">
        <v>25</v>
      </c>
      <c r="K19" s="29" t="s">
        <v>25</v>
      </c>
      <c r="L19" s="29" t="s">
        <v>25</v>
      </c>
      <c r="M19" s="29" t="s">
        <v>25</v>
      </c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25</v>
      </c>
      <c r="F20" s="21" t="s">
        <v>25</v>
      </c>
      <c r="G20" s="21" t="s">
        <v>24</v>
      </c>
      <c r="H20" s="21" t="s">
        <v>32</v>
      </c>
      <c r="I20" s="21" t="s">
        <v>32</v>
      </c>
      <c r="J20" s="21" t="s">
        <v>32</v>
      </c>
      <c r="K20" s="21" t="s">
        <v>32</v>
      </c>
      <c r="L20" s="21" t="s">
        <v>25</v>
      </c>
      <c r="M20" s="21" t="s">
        <v>32</v>
      </c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25</v>
      </c>
      <c r="F21" s="29" t="s">
        <v>25</v>
      </c>
      <c r="G21" s="29" t="s">
        <v>24</v>
      </c>
      <c r="H21" s="29" t="s">
        <v>32</v>
      </c>
      <c r="I21" s="29" t="s">
        <v>32</v>
      </c>
      <c r="J21" s="29" t="s">
        <v>32</v>
      </c>
      <c r="K21" s="29" t="s">
        <v>32</v>
      </c>
      <c r="L21" s="29" t="s">
        <v>24</v>
      </c>
      <c r="M21" s="29" t="s">
        <v>32</v>
      </c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25</v>
      </c>
      <c r="E22" s="21" t="s">
        <v>24</v>
      </c>
      <c r="F22" s="21" t="s">
        <v>24</v>
      </c>
      <c r="G22" s="21" t="s">
        <v>25</v>
      </c>
      <c r="H22" s="21" t="s">
        <v>24</v>
      </c>
      <c r="I22" s="21" t="s">
        <v>25</v>
      </c>
      <c r="J22" s="21" t="s">
        <v>24</v>
      </c>
      <c r="K22" s="21" t="s">
        <v>25</v>
      </c>
      <c r="L22" s="21" t="s">
        <v>24</v>
      </c>
      <c r="M22" s="21" t="s">
        <v>25</v>
      </c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25</v>
      </c>
      <c r="E23" s="29" t="s">
        <v>24</v>
      </c>
      <c r="F23" s="29" t="s">
        <v>24</v>
      </c>
      <c r="G23" s="29" t="s">
        <v>25</v>
      </c>
      <c r="H23" s="29" t="s">
        <v>25</v>
      </c>
      <c r="I23" s="29" t="s">
        <v>25</v>
      </c>
      <c r="J23" s="29" t="s">
        <v>25</v>
      </c>
      <c r="K23" s="29" t="s">
        <v>25</v>
      </c>
      <c r="L23" s="29" t="s">
        <v>25</v>
      </c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24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25</v>
      </c>
      <c r="L24" s="21" t="s">
        <v>25</v>
      </c>
      <c r="M24" s="21" t="s">
        <v>25</v>
      </c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25</v>
      </c>
      <c r="F25" s="29" t="s">
        <v>25</v>
      </c>
      <c r="G25" s="29" t="s">
        <v>25</v>
      </c>
      <c r="H25" s="29" t="s">
        <v>24</v>
      </c>
      <c r="I25" s="29" t="s">
        <v>25</v>
      </c>
      <c r="J25" s="29" t="s">
        <v>24</v>
      </c>
      <c r="K25" s="29" t="s">
        <v>25</v>
      </c>
      <c r="L25" s="29" t="s">
        <v>25</v>
      </c>
      <c r="M25" s="29" t="s">
        <v>25</v>
      </c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24</v>
      </c>
      <c r="G26" s="21" t="s">
        <v>24</v>
      </c>
      <c r="H26" s="21" t="s">
        <v>25</v>
      </c>
      <c r="I26" s="21" t="s">
        <v>25</v>
      </c>
      <c r="J26" s="21" t="s">
        <v>25</v>
      </c>
      <c r="K26" s="21" t="s">
        <v>25</v>
      </c>
      <c r="L26" s="21" t="s">
        <v>25</v>
      </c>
      <c r="M26" s="21" t="s">
        <v>24</v>
      </c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25</v>
      </c>
      <c r="E29" s="29" t="s">
        <v>24</v>
      </c>
      <c r="F29" s="29" t="s">
        <v>24</v>
      </c>
      <c r="G29" s="29" t="s">
        <v>24</v>
      </c>
      <c r="H29" s="29" t="s">
        <v>24</v>
      </c>
      <c r="I29" s="29" t="s">
        <v>25</v>
      </c>
      <c r="J29" s="29" t="s">
        <v>25</v>
      </c>
      <c r="K29" s="29" t="s">
        <v>25</v>
      </c>
      <c r="L29" s="29" t="s">
        <v>24</v>
      </c>
      <c r="M29" s="29" t="s">
        <v>25</v>
      </c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1.63"/>
    <col customWidth="1" min="5" max="5" width="12.88"/>
    <col customWidth="1" min="6" max="6" width="15.13"/>
    <col customWidth="1" min="7" max="7" width="12.0"/>
    <col customWidth="1" min="8" max="8" width="21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77</v>
      </c>
      <c r="E2" s="7" t="s">
        <v>78</v>
      </c>
      <c r="F2" s="7" t="s">
        <v>79</v>
      </c>
      <c r="G2" s="7" t="s">
        <v>80</v>
      </c>
      <c r="H2" s="7" t="s">
        <v>81</v>
      </c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377.0</v>
      </c>
      <c r="E3" s="11">
        <v>357.0</v>
      </c>
      <c r="F3" s="11">
        <v>218.0</v>
      </c>
      <c r="G3" s="11" t="s">
        <v>45</v>
      </c>
      <c r="H3" s="11">
        <v>269.0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H8" si="1">D9/$C$14*100</f>
        <v>73.33333333</v>
      </c>
      <c r="E8" s="22">
        <f t="shared" si="1"/>
        <v>73.33333333</v>
      </c>
      <c r="F8" s="22">
        <f t="shared" si="1"/>
        <v>46.66666667</v>
      </c>
      <c r="G8" s="22">
        <f t="shared" si="1"/>
        <v>40</v>
      </c>
      <c r="H8" s="22">
        <f t="shared" si="1"/>
        <v>40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H9" si="2">COUNTIF(D15:D44, "P")</f>
        <v>11</v>
      </c>
      <c r="E9" s="11">
        <f t="shared" si="2"/>
        <v>11</v>
      </c>
      <c r="F9" s="11">
        <f t="shared" si="2"/>
        <v>7</v>
      </c>
      <c r="G9" s="11">
        <f t="shared" si="2"/>
        <v>6</v>
      </c>
      <c r="H9" s="11">
        <f t="shared" si="2"/>
        <v>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F10" si="3">COUNTIF(D15:D45, "A")</f>
        <v>1</v>
      </c>
      <c r="E10" s="14">
        <f t="shared" si="3"/>
        <v>1</v>
      </c>
      <c r="F10" s="14">
        <f t="shared" si="3"/>
        <v>5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77</v>
      </c>
      <c r="E14" s="27" t="s">
        <v>78</v>
      </c>
      <c r="F14" s="27" t="s">
        <v>79</v>
      </c>
      <c r="G14" s="27" t="s">
        <v>80</v>
      </c>
      <c r="H14" s="27" t="s">
        <v>81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25</v>
      </c>
      <c r="E15" s="29" t="s">
        <v>25</v>
      </c>
      <c r="F15" s="29" t="s">
        <v>24</v>
      </c>
      <c r="G15" s="29" t="s">
        <v>24</v>
      </c>
      <c r="H15" s="29" t="s">
        <v>24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25</v>
      </c>
      <c r="F16" s="21" t="s">
        <v>24</v>
      </c>
      <c r="G16" s="21" t="s">
        <v>24</v>
      </c>
      <c r="H16" s="21" t="s">
        <v>24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25</v>
      </c>
      <c r="F18" s="21" t="s">
        <v>25</v>
      </c>
      <c r="G18" s="21" t="s">
        <v>24</v>
      </c>
      <c r="H18" s="21" t="s">
        <v>24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 t="s">
        <v>25</v>
      </c>
      <c r="H19" s="29" t="s">
        <v>24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25</v>
      </c>
      <c r="F20" s="21" t="s">
        <v>24</v>
      </c>
      <c r="G20" s="21" t="s">
        <v>24</v>
      </c>
      <c r="H20" s="21" t="s">
        <v>24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25</v>
      </c>
      <c r="F21" s="29" t="s">
        <v>24</v>
      </c>
      <c r="G21" s="29" t="s">
        <v>24</v>
      </c>
      <c r="H21" s="29" t="s">
        <v>24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25</v>
      </c>
      <c r="E22" s="21" t="s">
        <v>25</v>
      </c>
      <c r="F22" s="21" t="s">
        <v>25</v>
      </c>
      <c r="G22" s="21" t="s">
        <v>25</v>
      </c>
      <c r="H22" s="21" t="s">
        <v>25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25</v>
      </c>
      <c r="E23" s="29" t="s">
        <v>25</v>
      </c>
      <c r="F23" s="29" t="s">
        <v>24</v>
      </c>
      <c r="G23" s="29" t="s">
        <v>25</v>
      </c>
      <c r="H23" s="29" t="s">
        <v>25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25</v>
      </c>
      <c r="G24" s="21" t="s">
        <v>25</v>
      </c>
      <c r="H24" s="21" t="s">
        <v>25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25</v>
      </c>
      <c r="E25" s="29" t="s">
        <v>25</v>
      </c>
      <c r="F25" s="29" t="s">
        <v>25</v>
      </c>
      <c r="G25" s="29" t="s">
        <v>25</v>
      </c>
      <c r="H25" s="29" t="s">
        <v>25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25</v>
      </c>
      <c r="E26" s="21" t="s">
        <v>25</v>
      </c>
      <c r="F26" s="21" t="s">
        <v>25</v>
      </c>
      <c r="G26" s="21" t="s">
        <v>25</v>
      </c>
      <c r="H26" s="21" t="s">
        <v>25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24</v>
      </c>
      <c r="F29" s="29" t="s">
        <v>25</v>
      </c>
      <c r="G29" s="29" t="s">
        <v>24</v>
      </c>
      <c r="H29" s="29" t="s">
        <v>25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9.88"/>
    <col customWidth="1" min="3" max="3" width="5.5"/>
    <col customWidth="1" min="4" max="4" width="12.63"/>
    <col customWidth="1" min="5" max="5" width="18.75"/>
    <col customWidth="1" min="6" max="6" width="10.75"/>
    <col customWidth="1" min="7" max="7" width="11.0"/>
    <col customWidth="1" min="8" max="8" width="10.5"/>
    <col customWidth="1" min="9" max="9" width="7.5"/>
    <col customWidth="1" min="10" max="10" width="6.5"/>
    <col customWidth="1" min="11" max="11" width="8.38"/>
    <col customWidth="1" min="12" max="12" width="8.13"/>
    <col customWidth="1" min="13" max="13" width="6.5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38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39"/>
      <c r="D2" s="7" t="s">
        <v>82</v>
      </c>
      <c r="E2" s="7" t="s">
        <v>83</v>
      </c>
      <c r="F2" s="7" t="s">
        <v>84</v>
      </c>
      <c r="G2" s="7" t="s">
        <v>85</v>
      </c>
      <c r="H2" s="7" t="s">
        <v>86</v>
      </c>
      <c r="I2" s="7" t="s">
        <v>87</v>
      </c>
      <c r="J2" s="7" t="s">
        <v>88</v>
      </c>
      <c r="K2" s="7" t="s">
        <v>89</v>
      </c>
      <c r="L2" s="7" t="s">
        <v>90</v>
      </c>
      <c r="M2" s="7" t="s">
        <v>91</v>
      </c>
      <c r="N2" s="7" t="s">
        <v>92</v>
      </c>
      <c r="O2" s="7" t="s">
        <v>93</v>
      </c>
      <c r="P2" s="7" t="s">
        <v>94</v>
      </c>
      <c r="Q2" s="7" t="s">
        <v>95</v>
      </c>
      <c r="R2" s="7" t="s">
        <v>96</v>
      </c>
      <c r="S2" s="8" t="s">
        <v>46</v>
      </c>
    </row>
    <row r="3" ht="15.75" customHeight="1">
      <c r="A3" s="9" t="s">
        <v>9</v>
      </c>
      <c r="B3" s="5"/>
      <c r="C3" s="17"/>
      <c r="D3" s="11">
        <v>334.0</v>
      </c>
      <c r="E3" s="11">
        <v>354.0</v>
      </c>
      <c r="F3" s="11">
        <v>416.0</v>
      </c>
      <c r="G3" s="11">
        <v>167.0</v>
      </c>
      <c r="H3" s="11">
        <v>157.0</v>
      </c>
      <c r="I3" s="11">
        <v>161.0</v>
      </c>
      <c r="J3" s="11">
        <v>166.0</v>
      </c>
      <c r="K3" s="11">
        <v>154.0</v>
      </c>
      <c r="L3" s="11">
        <v>182.0</v>
      </c>
      <c r="M3" s="11">
        <v>222.0</v>
      </c>
      <c r="N3" s="11">
        <v>333.0</v>
      </c>
      <c r="O3" s="11">
        <v>332.0</v>
      </c>
      <c r="P3" s="11">
        <v>344.0</v>
      </c>
      <c r="Q3" s="11">
        <v>374.0</v>
      </c>
      <c r="R3" s="11">
        <v>410.0</v>
      </c>
      <c r="S3" s="11">
        <v>271.0</v>
      </c>
    </row>
    <row r="4" ht="15.75" customHeight="1">
      <c r="A4" s="12" t="s">
        <v>10</v>
      </c>
      <c r="B4" s="5"/>
      <c r="C4" s="15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40"/>
      <c r="D5" s="11"/>
      <c r="E5" s="11" t="s">
        <v>97</v>
      </c>
      <c r="F5" s="11"/>
      <c r="G5" s="11" t="s">
        <v>97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2" t="s">
        <v>12</v>
      </c>
      <c r="B6" s="5"/>
      <c r="C6" s="41"/>
      <c r="D6" s="14"/>
      <c r="E6" s="20">
        <v>45994.0</v>
      </c>
      <c r="F6" s="14"/>
      <c r="G6" s="20">
        <v>45999.0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4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42"/>
      <c r="D8" s="22">
        <f t="shared" ref="D8:S8" si="1">D9/$C$14*100</f>
        <v>23.07692308</v>
      </c>
      <c r="E8" s="22">
        <f t="shared" si="1"/>
        <v>92.30769231</v>
      </c>
      <c r="F8" s="22">
        <f t="shared" si="1"/>
        <v>69.23076923</v>
      </c>
      <c r="G8" s="22">
        <f t="shared" si="1"/>
        <v>92.30769231</v>
      </c>
      <c r="H8" s="22">
        <f t="shared" si="1"/>
        <v>69.23076923</v>
      </c>
      <c r="I8" s="22">
        <f t="shared" si="1"/>
        <v>46.15384615</v>
      </c>
      <c r="J8" s="22">
        <f t="shared" si="1"/>
        <v>84.61538462</v>
      </c>
      <c r="K8" s="22">
        <f t="shared" si="1"/>
        <v>53.84615385</v>
      </c>
      <c r="L8" s="22">
        <f t="shared" si="1"/>
        <v>7.692307692</v>
      </c>
      <c r="M8" s="22">
        <f t="shared" si="1"/>
        <v>53.84615385</v>
      </c>
      <c r="N8" s="22">
        <f t="shared" si="1"/>
        <v>61.53846154</v>
      </c>
      <c r="O8" s="22">
        <f t="shared" si="1"/>
        <v>69.23076923</v>
      </c>
      <c r="P8" s="22">
        <f t="shared" si="1"/>
        <v>38.46153846</v>
      </c>
      <c r="Q8" s="22">
        <f t="shared" si="1"/>
        <v>100</v>
      </c>
      <c r="R8" s="22">
        <f t="shared" si="1"/>
        <v>84.61538462</v>
      </c>
      <c r="S8" s="22">
        <f t="shared" si="1"/>
        <v>7.692307692</v>
      </c>
    </row>
    <row r="9" ht="15.75" customHeight="1">
      <c r="A9" s="9" t="s">
        <v>15</v>
      </c>
      <c r="B9" s="5"/>
      <c r="C9" s="17"/>
      <c r="D9" s="11">
        <f t="shared" ref="D9:S9" si="2">COUNTIF(D15:D44, "P")</f>
        <v>3</v>
      </c>
      <c r="E9" s="11">
        <f t="shared" si="2"/>
        <v>12</v>
      </c>
      <c r="F9" s="11">
        <f t="shared" si="2"/>
        <v>9</v>
      </c>
      <c r="G9" s="11">
        <f t="shared" si="2"/>
        <v>12</v>
      </c>
      <c r="H9" s="11">
        <f t="shared" si="2"/>
        <v>9</v>
      </c>
      <c r="I9" s="11">
        <f t="shared" si="2"/>
        <v>6</v>
      </c>
      <c r="J9" s="11">
        <f t="shared" si="2"/>
        <v>11</v>
      </c>
      <c r="K9" s="11">
        <f t="shared" si="2"/>
        <v>7</v>
      </c>
      <c r="L9" s="11">
        <f t="shared" si="2"/>
        <v>1</v>
      </c>
      <c r="M9" s="11">
        <f t="shared" si="2"/>
        <v>7</v>
      </c>
      <c r="N9" s="11">
        <f t="shared" si="2"/>
        <v>8</v>
      </c>
      <c r="O9" s="11">
        <f t="shared" si="2"/>
        <v>9</v>
      </c>
      <c r="P9" s="11">
        <f t="shared" si="2"/>
        <v>5</v>
      </c>
      <c r="Q9" s="11">
        <f t="shared" si="2"/>
        <v>13</v>
      </c>
      <c r="R9" s="11">
        <f t="shared" si="2"/>
        <v>11</v>
      </c>
      <c r="S9" s="11">
        <f t="shared" si="2"/>
        <v>1</v>
      </c>
    </row>
    <row r="10" ht="15.75" customHeight="1">
      <c r="A10" s="12" t="s">
        <v>16</v>
      </c>
      <c r="B10" s="5"/>
      <c r="C10" s="15"/>
      <c r="D10" s="14">
        <f t="shared" ref="D10:S10" si="3">COUNTIF(D15:D45, "A")</f>
        <v>10</v>
      </c>
      <c r="E10" s="14">
        <f t="shared" si="3"/>
        <v>1</v>
      </c>
      <c r="F10" s="14">
        <f t="shared" si="3"/>
        <v>4</v>
      </c>
      <c r="G10" s="14">
        <f t="shared" si="3"/>
        <v>1</v>
      </c>
      <c r="H10" s="14">
        <f t="shared" si="3"/>
        <v>4</v>
      </c>
      <c r="I10" s="14">
        <f t="shared" si="3"/>
        <v>7</v>
      </c>
      <c r="J10" s="14">
        <f t="shared" si="3"/>
        <v>2</v>
      </c>
      <c r="K10" s="14">
        <f t="shared" si="3"/>
        <v>6</v>
      </c>
      <c r="L10" s="14">
        <f t="shared" si="3"/>
        <v>12</v>
      </c>
      <c r="M10" s="14">
        <f t="shared" si="3"/>
        <v>6</v>
      </c>
      <c r="N10" s="14">
        <f t="shared" si="3"/>
        <v>5</v>
      </c>
      <c r="O10" s="14">
        <f t="shared" si="3"/>
        <v>4</v>
      </c>
      <c r="P10" s="14">
        <f t="shared" si="3"/>
        <v>8</v>
      </c>
      <c r="Q10" s="14">
        <f t="shared" si="3"/>
        <v>0</v>
      </c>
      <c r="R10" s="14">
        <f t="shared" si="3"/>
        <v>2</v>
      </c>
      <c r="S10" s="14">
        <f t="shared" si="3"/>
        <v>1</v>
      </c>
    </row>
    <row r="11" ht="15.75" customHeight="1">
      <c r="A11" s="9" t="s">
        <v>17</v>
      </c>
      <c r="B11" s="5"/>
      <c r="C11" s="17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5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40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41">
        <f>COUNTIF(C15:C45, "Y")</f>
        <v>13</v>
      </c>
      <c r="D14" s="27" t="s">
        <v>82</v>
      </c>
      <c r="E14" s="27" t="s">
        <v>83</v>
      </c>
      <c r="F14" s="27" t="s">
        <v>84</v>
      </c>
      <c r="G14" s="27" t="s">
        <v>85</v>
      </c>
      <c r="H14" s="27" t="s">
        <v>86</v>
      </c>
      <c r="I14" s="27" t="s">
        <v>87</v>
      </c>
      <c r="J14" s="27" t="s">
        <v>88</v>
      </c>
      <c r="K14" s="27" t="s">
        <v>89</v>
      </c>
      <c r="L14" s="27" t="s">
        <v>90</v>
      </c>
      <c r="M14" s="27" t="s">
        <v>91</v>
      </c>
      <c r="N14" s="27" t="s">
        <v>92</v>
      </c>
      <c r="O14" s="27" t="s">
        <v>93</v>
      </c>
      <c r="P14" s="27" t="s">
        <v>94</v>
      </c>
      <c r="Q14" s="27" t="s">
        <v>95</v>
      </c>
      <c r="R14" s="27" t="s">
        <v>96</v>
      </c>
      <c r="S14" s="27" t="s">
        <v>46</v>
      </c>
    </row>
    <row r="15" ht="15.75" customHeight="1">
      <c r="A15" s="17" t="s">
        <v>22</v>
      </c>
      <c r="B15" s="28">
        <v>45992.0</v>
      </c>
      <c r="C15" s="43" t="s">
        <v>23</v>
      </c>
      <c r="D15" s="29" t="s">
        <v>25</v>
      </c>
      <c r="E15" s="29" t="s">
        <v>25</v>
      </c>
      <c r="F15" s="29" t="s">
        <v>25</v>
      </c>
      <c r="G15" s="29" t="s">
        <v>25</v>
      </c>
      <c r="H15" s="29" t="s">
        <v>25</v>
      </c>
      <c r="I15" s="29" t="s">
        <v>25</v>
      </c>
      <c r="J15" s="29" t="s">
        <v>25</v>
      </c>
      <c r="K15" s="29" t="s">
        <v>24</v>
      </c>
      <c r="L15" s="29" t="s">
        <v>24</v>
      </c>
      <c r="M15" s="29" t="s">
        <v>24</v>
      </c>
      <c r="N15" s="29" t="s">
        <v>25</v>
      </c>
      <c r="O15" s="29" t="s">
        <v>25</v>
      </c>
      <c r="P15" s="29" t="s">
        <v>24</v>
      </c>
      <c r="Q15" s="29" t="s">
        <v>25</v>
      </c>
      <c r="R15" s="29" t="s">
        <v>25</v>
      </c>
      <c r="S15" s="10"/>
    </row>
    <row r="16" ht="15.75" customHeight="1">
      <c r="A16" s="15" t="s">
        <v>26</v>
      </c>
      <c r="B16" s="30">
        <v>45993.0</v>
      </c>
      <c r="C16" s="42" t="s">
        <v>23</v>
      </c>
      <c r="D16" s="21" t="s">
        <v>25</v>
      </c>
      <c r="E16" s="21" t="s">
        <v>25</v>
      </c>
      <c r="F16" s="21" t="s">
        <v>25</v>
      </c>
      <c r="G16" s="21" t="s">
        <v>25</v>
      </c>
      <c r="H16" s="21" t="s">
        <v>25</v>
      </c>
      <c r="I16" s="21" t="s">
        <v>24</v>
      </c>
      <c r="J16" s="21" t="s">
        <v>24</v>
      </c>
      <c r="K16" s="21" t="s">
        <v>24</v>
      </c>
      <c r="L16" s="21" t="s">
        <v>24</v>
      </c>
      <c r="M16" s="21" t="s">
        <v>25</v>
      </c>
      <c r="N16" s="21" t="s">
        <v>25</v>
      </c>
      <c r="O16" s="21" t="s">
        <v>25</v>
      </c>
      <c r="P16" s="21" t="s">
        <v>24</v>
      </c>
      <c r="Q16" s="21" t="s">
        <v>25</v>
      </c>
      <c r="R16" s="21" t="s">
        <v>25</v>
      </c>
      <c r="S16" s="13"/>
    </row>
    <row r="17" ht="15.75" customHeight="1">
      <c r="A17" s="17" t="s">
        <v>27</v>
      </c>
      <c r="B17" s="28">
        <v>45994.0</v>
      </c>
      <c r="C17" s="43" t="s">
        <v>23</v>
      </c>
      <c r="D17" s="29" t="s">
        <v>24</v>
      </c>
      <c r="E17" s="29" t="s">
        <v>25</v>
      </c>
      <c r="F17" s="29" t="s">
        <v>25</v>
      </c>
      <c r="G17" s="29" t="s">
        <v>25</v>
      </c>
      <c r="H17" s="29" t="s">
        <v>25</v>
      </c>
      <c r="I17" s="29" t="s">
        <v>24</v>
      </c>
      <c r="J17" s="29" t="s">
        <v>25</v>
      </c>
      <c r="K17" s="29" t="s">
        <v>25</v>
      </c>
      <c r="L17" s="29" t="s">
        <v>24</v>
      </c>
      <c r="M17" s="29" t="s">
        <v>25</v>
      </c>
      <c r="N17" s="29" t="s">
        <v>25</v>
      </c>
      <c r="O17" s="29" t="s">
        <v>25</v>
      </c>
      <c r="P17" s="29" t="s">
        <v>25</v>
      </c>
      <c r="Q17" s="29" t="s">
        <v>25</v>
      </c>
      <c r="R17" s="29" t="s">
        <v>25</v>
      </c>
      <c r="S17" s="10"/>
    </row>
    <row r="18" ht="15.75" customHeight="1">
      <c r="A18" s="15" t="s">
        <v>28</v>
      </c>
      <c r="B18" s="30">
        <v>45995.0</v>
      </c>
      <c r="C18" s="42" t="s">
        <v>23</v>
      </c>
      <c r="D18" s="21" t="s">
        <v>24</v>
      </c>
      <c r="E18" s="21" t="s">
        <v>25</v>
      </c>
      <c r="F18" s="21" t="s">
        <v>24</v>
      </c>
      <c r="G18" s="21" t="s">
        <v>25</v>
      </c>
      <c r="H18" s="21" t="s">
        <v>25</v>
      </c>
      <c r="I18" s="21" t="s">
        <v>24</v>
      </c>
      <c r="J18" s="21" t="s">
        <v>25</v>
      </c>
      <c r="K18" s="21" t="s">
        <v>25</v>
      </c>
      <c r="L18" s="21" t="s">
        <v>24</v>
      </c>
      <c r="M18" s="21" t="s">
        <v>25</v>
      </c>
      <c r="N18" s="21" t="s">
        <v>24</v>
      </c>
      <c r="O18" s="21" t="s">
        <v>25</v>
      </c>
      <c r="P18" s="21" t="s">
        <v>25</v>
      </c>
      <c r="Q18" s="21" t="s">
        <v>25</v>
      </c>
      <c r="R18" s="21" t="s">
        <v>25</v>
      </c>
      <c r="S18" s="13"/>
    </row>
    <row r="19" ht="15.75" customHeight="1">
      <c r="A19" s="17" t="s">
        <v>29</v>
      </c>
      <c r="B19" s="28">
        <v>45996.0</v>
      </c>
      <c r="C19" s="43" t="s">
        <v>23</v>
      </c>
      <c r="D19" s="29" t="s">
        <v>25</v>
      </c>
      <c r="E19" s="29" t="s">
        <v>25</v>
      </c>
      <c r="F19" s="29" t="s">
        <v>25</v>
      </c>
      <c r="G19" s="29" t="s">
        <v>25</v>
      </c>
      <c r="H19" s="29" t="s">
        <v>25</v>
      </c>
      <c r="I19" s="29" t="s">
        <v>24</v>
      </c>
      <c r="J19" s="29" t="s">
        <v>25</v>
      </c>
      <c r="K19" s="29" t="s">
        <v>25</v>
      </c>
      <c r="L19" s="29" t="s">
        <v>24</v>
      </c>
      <c r="M19" s="29" t="s">
        <v>25</v>
      </c>
      <c r="N19" s="29" t="s">
        <v>24</v>
      </c>
      <c r="O19" s="29" t="s">
        <v>25</v>
      </c>
      <c r="P19" s="29" t="s">
        <v>24</v>
      </c>
      <c r="Q19" s="29" t="s">
        <v>25</v>
      </c>
      <c r="R19" s="29" t="s">
        <v>25</v>
      </c>
      <c r="S19" s="10"/>
    </row>
    <row r="20" ht="15.75" customHeight="1">
      <c r="A20" s="15" t="s">
        <v>30</v>
      </c>
      <c r="B20" s="30">
        <v>45997.0</v>
      </c>
      <c r="C20" s="42" t="s">
        <v>23</v>
      </c>
      <c r="D20" s="21" t="s">
        <v>24</v>
      </c>
      <c r="E20" s="21" t="s">
        <v>25</v>
      </c>
      <c r="F20" s="21" t="s">
        <v>24</v>
      </c>
      <c r="G20" s="21" t="s">
        <v>24</v>
      </c>
      <c r="H20" s="21" t="s">
        <v>25</v>
      </c>
      <c r="I20" s="21" t="s">
        <v>24</v>
      </c>
      <c r="J20" s="21" t="s">
        <v>24</v>
      </c>
      <c r="K20" s="21" t="s">
        <v>24</v>
      </c>
      <c r="L20" s="21" t="s">
        <v>24</v>
      </c>
      <c r="M20" s="21" t="s">
        <v>25</v>
      </c>
      <c r="N20" s="21" t="s">
        <v>24</v>
      </c>
      <c r="O20" s="21" t="s">
        <v>24</v>
      </c>
      <c r="P20" s="21" t="s">
        <v>24</v>
      </c>
      <c r="Q20" s="21" t="s">
        <v>25</v>
      </c>
      <c r="R20" s="21" t="s">
        <v>25</v>
      </c>
      <c r="S20" s="13"/>
    </row>
    <row r="21" ht="15.75" customHeight="1">
      <c r="A21" s="17" t="s">
        <v>31</v>
      </c>
      <c r="B21" s="28">
        <v>45998.0</v>
      </c>
      <c r="C21" s="43" t="s">
        <v>23</v>
      </c>
      <c r="D21" s="29" t="s">
        <v>24</v>
      </c>
      <c r="E21" s="29" t="s">
        <v>25</v>
      </c>
      <c r="F21" s="29" t="s">
        <v>25</v>
      </c>
      <c r="G21" s="29" t="s">
        <v>25</v>
      </c>
      <c r="H21" s="29" t="s">
        <v>25</v>
      </c>
      <c r="I21" s="29" t="s">
        <v>24</v>
      </c>
      <c r="J21" s="29" t="s">
        <v>25</v>
      </c>
      <c r="K21" s="29" t="s">
        <v>24</v>
      </c>
      <c r="L21" s="29" t="s">
        <v>24</v>
      </c>
      <c r="M21" s="29" t="s">
        <v>25</v>
      </c>
      <c r="N21" s="29" t="s">
        <v>24</v>
      </c>
      <c r="O21" s="29" t="s">
        <v>24</v>
      </c>
      <c r="P21" s="29" t="s">
        <v>24</v>
      </c>
      <c r="Q21" s="29" t="s">
        <v>25</v>
      </c>
      <c r="R21" s="29" t="s">
        <v>24</v>
      </c>
      <c r="S21" s="10"/>
    </row>
    <row r="22" ht="15.75" customHeight="1">
      <c r="A22" s="15" t="s">
        <v>22</v>
      </c>
      <c r="B22" s="30">
        <v>45999.0</v>
      </c>
      <c r="C22" s="42" t="s">
        <v>23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 t="s">
        <v>24</v>
      </c>
      <c r="J22" s="21" t="s">
        <v>25</v>
      </c>
      <c r="K22" s="21" t="s">
        <v>25</v>
      </c>
      <c r="L22" s="21" t="s">
        <v>24</v>
      </c>
      <c r="M22" s="21" t="s">
        <v>25</v>
      </c>
      <c r="N22" s="21" t="s">
        <v>25</v>
      </c>
      <c r="O22" s="21" t="s">
        <v>25</v>
      </c>
      <c r="P22" s="21" t="s">
        <v>25</v>
      </c>
      <c r="Q22" s="21" t="s">
        <v>25</v>
      </c>
      <c r="R22" s="21" t="s">
        <v>25</v>
      </c>
      <c r="S22" s="13"/>
    </row>
    <row r="23" ht="15.75" customHeight="1">
      <c r="A23" s="17" t="s">
        <v>26</v>
      </c>
      <c r="B23" s="28">
        <v>46000.0</v>
      </c>
      <c r="C23" s="43" t="s">
        <v>23</v>
      </c>
      <c r="D23" s="29" t="s">
        <v>24</v>
      </c>
      <c r="E23" s="29" t="s">
        <v>24</v>
      </c>
      <c r="F23" s="29" t="s">
        <v>25</v>
      </c>
      <c r="G23" s="29" t="s">
        <v>25</v>
      </c>
      <c r="H23" s="29" t="s">
        <v>24</v>
      </c>
      <c r="I23" s="29" t="s">
        <v>25</v>
      </c>
      <c r="J23" s="29" t="s">
        <v>25</v>
      </c>
      <c r="K23" s="29" t="s">
        <v>25</v>
      </c>
      <c r="L23" s="29" t="s">
        <v>24</v>
      </c>
      <c r="M23" s="29" t="s">
        <v>24</v>
      </c>
      <c r="N23" s="29" t="s">
        <v>25</v>
      </c>
      <c r="O23" s="29" t="s">
        <v>25</v>
      </c>
      <c r="P23" s="29" t="s">
        <v>25</v>
      </c>
      <c r="Q23" s="29" t="s">
        <v>25</v>
      </c>
      <c r="R23" s="29" t="s">
        <v>25</v>
      </c>
      <c r="S23" s="10"/>
    </row>
    <row r="24" ht="15.75" customHeight="1">
      <c r="A24" s="15" t="s">
        <v>27</v>
      </c>
      <c r="B24" s="30">
        <v>46001.0</v>
      </c>
      <c r="C24" s="42" t="s">
        <v>23</v>
      </c>
      <c r="D24" s="21" t="s">
        <v>24</v>
      </c>
      <c r="E24" s="21" t="s">
        <v>25</v>
      </c>
      <c r="F24" s="21" t="s">
        <v>25</v>
      </c>
      <c r="G24" s="21" t="s">
        <v>25</v>
      </c>
      <c r="H24" s="21" t="s">
        <v>24</v>
      </c>
      <c r="I24" s="21" t="s">
        <v>25</v>
      </c>
      <c r="J24" s="21" t="s">
        <v>25</v>
      </c>
      <c r="K24" s="21" t="s">
        <v>25</v>
      </c>
      <c r="L24" s="21" t="s">
        <v>24</v>
      </c>
      <c r="M24" s="21" t="s">
        <v>24</v>
      </c>
      <c r="N24" s="21" t="s">
        <v>25</v>
      </c>
      <c r="O24" s="21" t="s">
        <v>25</v>
      </c>
      <c r="P24" s="21" t="s">
        <v>25</v>
      </c>
      <c r="Q24" s="21" t="s">
        <v>25</v>
      </c>
      <c r="R24" s="21" t="s">
        <v>25</v>
      </c>
      <c r="S24" s="13"/>
    </row>
    <row r="25" ht="15.75" customHeight="1">
      <c r="A25" s="17" t="s">
        <v>28</v>
      </c>
      <c r="B25" s="28">
        <v>46002.0</v>
      </c>
      <c r="C25" s="43" t="s">
        <v>23</v>
      </c>
      <c r="D25" s="29" t="s">
        <v>24</v>
      </c>
      <c r="E25" s="29" t="s">
        <v>25</v>
      </c>
      <c r="F25" s="29" t="s">
        <v>25</v>
      </c>
      <c r="G25" s="29" t="s">
        <v>25</v>
      </c>
      <c r="H25" s="29" t="s">
        <v>24</v>
      </c>
      <c r="I25" s="29" t="s">
        <v>25</v>
      </c>
      <c r="J25" s="29" t="s">
        <v>25</v>
      </c>
      <c r="K25" s="29" t="s">
        <v>25</v>
      </c>
      <c r="L25" s="29" t="s">
        <v>25</v>
      </c>
      <c r="M25" s="29" t="s">
        <v>24</v>
      </c>
      <c r="N25" s="29" t="s">
        <v>25</v>
      </c>
      <c r="O25" s="29" t="s">
        <v>24</v>
      </c>
      <c r="P25" s="29" t="s">
        <v>24</v>
      </c>
      <c r="Q25" s="29" t="s">
        <v>25</v>
      </c>
      <c r="R25" s="29" t="s">
        <v>25</v>
      </c>
      <c r="S25" s="10"/>
    </row>
    <row r="26" ht="15.75" customHeight="1">
      <c r="A26" s="15" t="s">
        <v>29</v>
      </c>
      <c r="B26" s="30">
        <v>46003.0</v>
      </c>
      <c r="C26" s="42" t="s">
        <v>23</v>
      </c>
      <c r="D26" s="21" t="s">
        <v>24</v>
      </c>
      <c r="E26" s="21" t="s">
        <v>25</v>
      </c>
      <c r="F26" s="21" t="s">
        <v>24</v>
      </c>
      <c r="G26" s="21" t="s">
        <v>25</v>
      </c>
      <c r="H26" s="21" t="s">
        <v>24</v>
      </c>
      <c r="I26" s="21" t="s">
        <v>25</v>
      </c>
      <c r="J26" s="21" t="s">
        <v>25</v>
      </c>
      <c r="K26" s="21" t="s">
        <v>24</v>
      </c>
      <c r="L26" s="21" t="s">
        <v>24</v>
      </c>
      <c r="M26" s="21" t="s">
        <v>24</v>
      </c>
      <c r="N26" s="21" t="s">
        <v>24</v>
      </c>
      <c r="O26" s="21" t="s">
        <v>25</v>
      </c>
      <c r="P26" s="21" t="s">
        <v>24</v>
      </c>
      <c r="Q26" s="21" t="s">
        <v>25</v>
      </c>
      <c r="R26" s="21" t="s">
        <v>24</v>
      </c>
      <c r="S26" s="13"/>
    </row>
    <row r="27" ht="15.75" customHeight="1">
      <c r="A27" s="17" t="s">
        <v>30</v>
      </c>
      <c r="B27" s="28">
        <v>46004.0</v>
      </c>
      <c r="C27" s="43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42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43" t="s">
        <v>23</v>
      </c>
      <c r="D29" s="29" t="s">
        <v>24</v>
      </c>
      <c r="E29" s="29" t="s">
        <v>25</v>
      </c>
      <c r="F29" s="29" t="s">
        <v>24</v>
      </c>
      <c r="G29" s="29" t="s">
        <v>25</v>
      </c>
      <c r="H29" s="29" t="s">
        <v>25</v>
      </c>
      <c r="I29" s="29" t="s">
        <v>25</v>
      </c>
      <c r="J29" s="29" t="s">
        <v>25</v>
      </c>
      <c r="K29" s="29" t="s">
        <v>24</v>
      </c>
      <c r="L29" s="29" t="s">
        <v>24</v>
      </c>
      <c r="M29" s="29" t="s">
        <v>24</v>
      </c>
      <c r="N29" s="29" t="s">
        <v>25</v>
      </c>
      <c r="O29" s="29" t="s">
        <v>24</v>
      </c>
      <c r="P29" s="29" t="s">
        <v>24</v>
      </c>
      <c r="Q29" s="29" t="s">
        <v>25</v>
      </c>
      <c r="R29" s="29" t="s">
        <v>25</v>
      </c>
      <c r="S29" s="10"/>
    </row>
    <row r="30" ht="15.75" customHeight="1">
      <c r="A30" s="15" t="s">
        <v>26</v>
      </c>
      <c r="B30" s="30">
        <v>46007.0</v>
      </c>
      <c r="C30" s="15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 t="s">
        <v>25</v>
      </c>
    </row>
    <row r="31" ht="15.75" customHeight="1">
      <c r="A31" s="17" t="s">
        <v>27</v>
      </c>
      <c r="B31" s="28">
        <v>46008.0</v>
      </c>
      <c r="C31" s="17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 t="s">
        <v>24</v>
      </c>
    </row>
    <row r="32" ht="15.75" customHeight="1">
      <c r="A32" s="15" t="s">
        <v>28</v>
      </c>
      <c r="B32" s="30">
        <v>46009.0</v>
      </c>
      <c r="C32" s="15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7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5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7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5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7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5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5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7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5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7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5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31" t="s">
        <v>27</v>
      </c>
      <c r="B45" s="44">
        <v>46022.0</v>
      </c>
      <c r="C45" s="31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</row>
    <row r="46" ht="15.75" customHeight="1">
      <c r="A46" s="31"/>
      <c r="B46" s="3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4.0"/>
    <col customWidth="1" min="5" max="5" width="22.75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98</v>
      </c>
      <c r="E2" s="7" t="s">
        <v>99</v>
      </c>
      <c r="F2" s="7" t="s">
        <v>100</v>
      </c>
      <c r="G2" s="7" t="s">
        <v>101</v>
      </c>
      <c r="H2" s="7" t="s">
        <v>102</v>
      </c>
      <c r="I2" s="7" t="s">
        <v>6</v>
      </c>
      <c r="J2" s="7" t="s">
        <v>103</v>
      </c>
      <c r="K2" s="7" t="s">
        <v>104</v>
      </c>
      <c r="L2" s="7" t="s">
        <v>105</v>
      </c>
      <c r="M2" s="7" t="s">
        <v>106</v>
      </c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363.0</v>
      </c>
      <c r="E3" s="11">
        <v>227.0</v>
      </c>
      <c r="F3" s="11" t="s">
        <v>107</v>
      </c>
      <c r="G3" s="11">
        <v>369.0</v>
      </c>
      <c r="H3" s="11">
        <v>141.0</v>
      </c>
      <c r="I3" s="11">
        <v>191.0</v>
      </c>
      <c r="J3" s="11">
        <v>156.0</v>
      </c>
      <c r="K3" s="11">
        <v>370.0</v>
      </c>
      <c r="L3" s="11">
        <v>363.0</v>
      </c>
      <c r="M3" s="11">
        <v>220.0</v>
      </c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2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M8" si="1">D9/$C$14*100</f>
        <v>60</v>
      </c>
      <c r="E8" s="22">
        <f t="shared" si="1"/>
        <v>100</v>
      </c>
      <c r="F8" s="22">
        <f t="shared" si="1"/>
        <v>46.66666667</v>
      </c>
      <c r="G8" s="22">
        <f t="shared" si="1"/>
        <v>60</v>
      </c>
      <c r="H8" s="22">
        <f t="shared" si="1"/>
        <v>40</v>
      </c>
      <c r="I8" s="22">
        <f t="shared" si="1"/>
        <v>66.66666667</v>
      </c>
      <c r="J8" s="22">
        <f t="shared" si="1"/>
        <v>100</v>
      </c>
      <c r="K8" s="22">
        <f t="shared" si="1"/>
        <v>60</v>
      </c>
      <c r="L8" s="22">
        <f t="shared" si="1"/>
        <v>86.66666667</v>
      </c>
      <c r="M8" s="22">
        <f t="shared" si="1"/>
        <v>100</v>
      </c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M9" si="2">COUNTIF(D15:D44, "P")</f>
        <v>9</v>
      </c>
      <c r="E9" s="11">
        <f t="shared" si="2"/>
        <v>15</v>
      </c>
      <c r="F9" s="11">
        <f t="shared" si="2"/>
        <v>7</v>
      </c>
      <c r="G9" s="11">
        <f t="shared" si="2"/>
        <v>9</v>
      </c>
      <c r="H9" s="11">
        <f t="shared" si="2"/>
        <v>6</v>
      </c>
      <c r="I9" s="11">
        <f t="shared" si="2"/>
        <v>10</v>
      </c>
      <c r="J9" s="11">
        <f t="shared" si="2"/>
        <v>15</v>
      </c>
      <c r="K9" s="11">
        <f t="shared" si="2"/>
        <v>9</v>
      </c>
      <c r="L9" s="11">
        <f t="shared" si="2"/>
        <v>13</v>
      </c>
      <c r="M9" s="11">
        <f t="shared" si="2"/>
        <v>15</v>
      </c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M10" si="3">COUNTIF(D15:D45, "A")</f>
        <v>6</v>
      </c>
      <c r="E10" s="14">
        <f t="shared" si="3"/>
        <v>0</v>
      </c>
      <c r="F10" s="14">
        <f t="shared" si="3"/>
        <v>8</v>
      </c>
      <c r="G10" s="14">
        <f t="shared" si="3"/>
        <v>6</v>
      </c>
      <c r="H10" s="14">
        <f t="shared" si="3"/>
        <v>9</v>
      </c>
      <c r="I10" s="14">
        <f t="shared" si="3"/>
        <v>5</v>
      </c>
      <c r="J10" s="14">
        <f t="shared" si="3"/>
        <v>0</v>
      </c>
      <c r="K10" s="14">
        <f t="shared" si="3"/>
        <v>6</v>
      </c>
      <c r="L10" s="14">
        <f t="shared" si="3"/>
        <v>0</v>
      </c>
      <c r="M10" s="14">
        <f t="shared" si="3"/>
        <v>0</v>
      </c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98</v>
      </c>
      <c r="E14" s="27" t="s">
        <v>99</v>
      </c>
      <c r="F14" s="27" t="s">
        <v>100</v>
      </c>
      <c r="G14" s="27" t="s">
        <v>101</v>
      </c>
      <c r="H14" s="27" t="s">
        <v>102</v>
      </c>
      <c r="I14" s="27" t="s">
        <v>6</v>
      </c>
      <c r="J14" s="27" t="s">
        <v>103</v>
      </c>
      <c r="K14" s="27" t="s">
        <v>104</v>
      </c>
      <c r="L14" s="27" t="s">
        <v>105</v>
      </c>
      <c r="M14" s="27" t="s">
        <v>106</v>
      </c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25</v>
      </c>
      <c r="E15" s="29" t="s">
        <v>25</v>
      </c>
      <c r="F15" s="29" t="s">
        <v>25</v>
      </c>
      <c r="G15" s="29" t="s">
        <v>25</v>
      </c>
      <c r="H15" s="29" t="s">
        <v>24</v>
      </c>
      <c r="I15" s="29" t="s">
        <v>25</v>
      </c>
      <c r="J15" s="29" t="s">
        <v>25</v>
      </c>
      <c r="K15" s="29" t="s">
        <v>24</v>
      </c>
      <c r="L15" s="29" t="s">
        <v>25</v>
      </c>
      <c r="M15" s="29" t="s">
        <v>25</v>
      </c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24</v>
      </c>
      <c r="E16" s="21" t="s">
        <v>25</v>
      </c>
      <c r="F16" s="21" t="s">
        <v>25</v>
      </c>
      <c r="G16" s="21" t="s">
        <v>24</v>
      </c>
      <c r="H16" s="21" t="s">
        <v>24</v>
      </c>
      <c r="I16" s="21" t="s">
        <v>25</v>
      </c>
      <c r="J16" s="21" t="s">
        <v>25</v>
      </c>
      <c r="K16" s="21" t="s">
        <v>24</v>
      </c>
      <c r="L16" s="21" t="s">
        <v>25</v>
      </c>
      <c r="M16" s="21" t="s">
        <v>25</v>
      </c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24</v>
      </c>
      <c r="E17" s="29" t="s">
        <v>25</v>
      </c>
      <c r="F17" s="29" t="s">
        <v>25</v>
      </c>
      <c r="G17" s="29" t="s">
        <v>25</v>
      </c>
      <c r="H17" s="29" t="s">
        <v>24</v>
      </c>
      <c r="I17" s="29" t="s">
        <v>25</v>
      </c>
      <c r="J17" s="29" t="s">
        <v>25</v>
      </c>
      <c r="K17" s="29" t="s">
        <v>25</v>
      </c>
      <c r="L17" s="29" t="s">
        <v>25</v>
      </c>
      <c r="M17" s="29" t="s">
        <v>25</v>
      </c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25</v>
      </c>
      <c r="F18" s="21" t="s">
        <v>24</v>
      </c>
      <c r="G18" s="21" t="s">
        <v>24</v>
      </c>
      <c r="H18" s="21" t="s">
        <v>24</v>
      </c>
      <c r="I18" s="21" t="s">
        <v>25</v>
      </c>
      <c r="J18" s="21" t="s">
        <v>25</v>
      </c>
      <c r="K18" s="21" t="s">
        <v>25</v>
      </c>
      <c r="L18" s="21" t="s">
        <v>25</v>
      </c>
      <c r="M18" s="21" t="s">
        <v>25</v>
      </c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24</v>
      </c>
      <c r="E19" s="29" t="s">
        <v>25</v>
      </c>
      <c r="F19" s="29" t="s">
        <v>24</v>
      </c>
      <c r="G19" s="29" t="s">
        <v>24</v>
      </c>
      <c r="H19" s="29" t="s">
        <v>25</v>
      </c>
      <c r="I19" s="29" t="s">
        <v>25</v>
      </c>
      <c r="J19" s="29" t="s">
        <v>25</v>
      </c>
      <c r="K19" s="29" t="s">
        <v>25</v>
      </c>
      <c r="L19" s="29" t="s">
        <v>25</v>
      </c>
      <c r="M19" s="29" t="s">
        <v>25</v>
      </c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24</v>
      </c>
      <c r="E20" s="21" t="s">
        <v>25</v>
      </c>
      <c r="F20" s="21" t="s">
        <v>24</v>
      </c>
      <c r="G20" s="21" t="s">
        <v>25</v>
      </c>
      <c r="H20" s="21" t="s">
        <v>24</v>
      </c>
      <c r="I20" s="21" t="s">
        <v>25</v>
      </c>
      <c r="J20" s="21" t="s">
        <v>25</v>
      </c>
      <c r="K20" s="21" t="s">
        <v>24</v>
      </c>
      <c r="L20" s="21"/>
      <c r="M20" s="21" t="s">
        <v>25</v>
      </c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24</v>
      </c>
      <c r="E21" s="29" t="s">
        <v>25</v>
      </c>
      <c r="F21" s="29" t="s">
        <v>24</v>
      </c>
      <c r="G21" s="29" t="s">
        <v>25</v>
      </c>
      <c r="H21" s="29" t="s">
        <v>24</v>
      </c>
      <c r="I21" s="29" t="s">
        <v>25</v>
      </c>
      <c r="J21" s="29" t="s">
        <v>25</v>
      </c>
      <c r="K21" s="29" t="s">
        <v>25</v>
      </c>
      <c r="L21" s="29" t="s">
        <v>25</v>
      </c>
      <c r="M21" s="29" t="s">
        <v>25</v>
      </c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25</v>
      </c>
      <c r="E22" s="21" t="s">
        <v>25</v>
      </c>
      <c r="F22" s="21" t="s">
        <v>25</v>
      </c>
      <c r="G22" s="21" t="s">
        <v>24</v>
      </c>
      <c r="H22" s="21" t="s">
        <v>25</v>
      </c>
      <c r="I22" s="21" t="s">
        <v>24</v>
      </c>
      <c r="J22" s="21" t="s">
        <v>25</v>
      </c>
      <c r="K22" s="21" t="s">
        <v>25</v>
      </c>
      <c r="L22" s="21" t="s">
        <v>25</v>
      </c>
      <c r="M22" s="21" t="s">
        <v>25</v>
      </c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25</v>
      </c>
      <c r="E23" s="29" t="s">
        <v>25</v>
      </c>
      <c r="F23" s="29" t="s">
        <v>25</v>
      </c>
      <c r="G23" s="29" t="s">
        <v>24</v>
      </c>
      <c r="H23" s="29" t="s">
        <v>24</v>
      </c>
      <c r="I23" s="29" t="s">
        <v>24</v>
      </c>
      <c r="J23" s="29" t="s">
        <v>25</v>
      </c>
      <c r="K23" s="29" t="s">
        <v>25</v>
      </c>
      <c r="L23" s="29"/>
      <c r="M23" s="29" t="s">
        <v>25</v>
      </c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25</v>
      </c>
      <c r="G24" s="21" t="s">
        <v>25</v>
      </c>
      <c r="H24" s="21" t="s">
        <v>25</v>
      </c>
      <c r="I24" s="21" t="s">
        <v>25</v>
      </c>
      <c r="J24" s="21" t="s">
        <v>25</v>
      </c>
      <c r="K24" s="21" t="s">
        <v>24</v>
      </c>
      <c r="L24" s="21" t="s">
        <v>25</v>
      </c>
      <c r="M24" s="21" t="s">
        <v>25</v>
      </c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25</v>
      </c>
      <c r="E25" s="29" t="s">
        <v>25</v>
      </c>
      <c r="F25" s="29" t="s">
        <v>25</v>
      </c>
      <c r="G25" s="29" t="s">
        <v>25</v>
      </c>
      <c r="H25" s="29" t="s">
        <v>25</v>
      </c>
      <c r="I25" s="29" t="s">
        <v>25</v>
      </c>
      <c r="J25" s="29" t="s">
        <v>25</v>
      </c>
      <c r="K25" s="29" t="s">
        <v>24</v>
      </c>
      <c r="L25" s="29" t="s">
        <v>25</v>
      </c>
      <c r="M25" s="29" t="s">
        <v>25</v>
      </c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24</v>
      </c>
      <c r="G26" s="21" t="s">
        <v>25</v>
      </c>
      <c r="H26" s="21" t="s">
        <v>25</v>
      </c>
      <c r="I26" s="21" t="s">
        <v>24</v>
      </c>
      <c r="J26" s="21" t="s">
        <v>25</v>
      </c>
      <c r="K26" s="21" t="s">
        <v>24</v>
      </c>
      <c r="L26" s="21" t="s">
        <v>25</v>
      </c>
      <c r="M26" s="21" t="s">
        <v>25</v>
      </c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25</v>
      </c>
      <c r="E29" s="29" t="s">
        <v>25</v>
      </c>
      <c r="F29" s="29" t="s">
        <v>24</v>
      </c>
      <c r="G29" s="29" t="s">
        <v>24</v>
      </c>
      <c r="H29" s="29" t="s">
        <v>24</v>
      </c>
      <c r="I29" s="29" t="s">
        <v>24</v>
      </c>
      <c r="J29" s="29" t="s">
        <v>25</v>
      </c>
      <c r="K29" s="29" t="s">
        <v>25</v>
      </c>
      <c r="L29" s="29" t="s">
        <v>25</v>
      </c>
      <c r="M29" s="29" t="s">
        <v>25</v>
      </c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 t="s">
        <v>25</v>
      </c>
      <c r="E30" s="13" t="s">
        <v>25</v>
      </c>
      <c r="F30" s="13" t="s">
        <v>24</v>
      </c>
      <c r="G30" s="13" t="s">
        <v>25</v>
      </c>
      <c r="H30" s="13" t="s">
        <v>24</v>
      </c>
      <c r="I30" s="13" t="s">
        <v>24</v>
      </c>
      <c r="J30" s="13" t="s">
        <v>25</v>
      </c>
      <c r="K30" s="13" t="s">
        <v>25</v>
      </c>
      <c r="L30" s="13" t="s">
        <v>25</v>
      </c>
      <c r="M30" s="13" t="s">
        <v>25</v>
      </c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 t="s">
        <v>25</v>
      </c>
      <c r="E31" s="10" t="s">
        <v>25</v>
      </c>
      <c r="F31" s="10" t="s">
        <v>24</v>
      </c>
      <c r="G31" s="10" t="s">
        <v>25</v>
      </c>
      <c r="H31" s="10" t="s">
        <v>25</v>
      </c>
      <c r="I31" s="10" t="s">
        <v>25</v>
      </c>
      <c r="J31" s="10" t="s">
        <v>25</v>
      </c>
      <c r="K31" s="10" t="s">
        <v>25</v>
      </c>
      <c r="L31" s="10" t="s">
        <v>25</v>
      </c>
      <c r="M31" s="10" t="s">
        <v>25</v>
      </c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108</v>
      </c>
      <c r="E2" s="7" t="s">
        <v>109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211.0</v>
      </c>
      <c r="E3" s="11">
        <v>335.0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E8" si="1">D9/$C$14*100</f>
        <v>53.33333333</v>
      </c>
      <c r="E8" s="22">
        <f t="shared" si="1"/>
        <v>0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E9" si="2">COUNTIF(D15:D44, "P")</f>
        <v>8</v>
      </c>
      <c r="E9" s="11">
        <f t="shared" si="2"/>
        <v>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E10" si="3">COUNTIF(D15:D45, "A")</f>
        <v>4</v>
      </c>
      <c r="E10" s="14">
        <f t="shared" si="3"/>
        <v>12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108</v>
      </c>
      <c r="E14" s="27" t="s">
        <v>109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24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24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24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24</v>
      </c>
      <c r="E20" s="21" t="s">
        <v>24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24</v>
      </c>
      <c r="E21" s="29" t="s">
        <v>24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25</v>
      </c>
      <c r="E22" s="21" t="s">
        <v>24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25</v>
      </c>
      <c r="E23" s="29" t="s">
        <v>24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24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25</v>
      </c>
      <c r="E25" s="29" t="s">
        <v>24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25</v>
      </c>
      <c r="E26" s="21" t="s">
        <v>24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24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110</v>
      </c>
      <c r="E2" s="7" t="s">
        <v>111</v>
      </c>
      <c r="F2" s="7" t="s">
        <v>112</v>
      </c>
      <c r="G2" s="7" t="s">
        <v>113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365.0</v>
      </c>
      <c r="E3" s="11">
        <v>315.0</v>
      </c>
      <c r="F3" s="11">
        <v>356.0</v>
      </c>
      <c r="G3" s="11" t="s">
        <v>45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 t="s">
        <v>97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46">
        <v>46009.0</v>
      </c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G8" si="1">D9/$C$14*100</f>
        <v>40</v>
      </c>
      <c r="E8" s="22">
        <f t="shared" si="1"/>
        <v>60</v>
      </c>
      <c r="F8" s="22">
        <f t="shared" si="1"/>
        <v>73.33333333</v>
      </c>
      <c r="G8" s="22">
        <f t="shared" si="1"/>
        <v>20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G9" si="2">COUNTIF(D15:D44, "P")</f>
        <v>6</v>
      </c>
      <c r="E9" s="11">
        <f t="shared" si="2"/>
        <v>9</v>
      </c>
      <c r="F9" s="11">
        <f t="shared" si="2"/>
        <v>11</v>
      </c>
      <c r="G9" s="11">
        <f t="shared" si="2"/>
        <v>3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G10" si="3">COUNTIF(D15:D45, "A")</f>
        <v>7</v>
      </c>
      <c r="E10" s="14">
        <f t="shared" si="3"/>
        <v>4</v>
      </c>
      <c r="F10" s="14">
        <f t="shared" si="3"/>
        <v>2</v>
      </c>
      <c r="G10" s="14">
        <f t="shared" si="3"/>
        <v>3</v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110</v>
      </c>
      <c r="E14" s="27" t="s">
        <v>111</v>
      </c>
      <c r="F14" s="27" t="s">
        <v>112</v>
      </c>
      <c r="G14" s="27" t="s">
        <v>113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25</v>
      </c>
      <c r="F15" s="29" t="s">
        <v>25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25</v>
      </c>
      <c r="F16" s="21" t="s">
        <v>25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24</v>
      </c>
      <c r="F17" s="29" t="s">
        <v>25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24</v>
      </c>
      <c r="F18" s="21" t="s">
        <v>25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24</v>
      </c>
      <c r="F20" s="21" t="s">
        <v>24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24</v>
      </c>
      <c r="F21" s="29" t="s">
        <v>24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25</v>
      </c>
      <c r="F22" s="21" t="s">
        <v>25</v>
      </c>
      <c r="G22" s="21" t="s">
        <v>25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25</v>
      </c>
      <c r="F23" s="29" t="s">
        <v>25</v>
      </c>
      <c r="G23" s="29" t="s">
        <v>25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25</v>
      </c>
      <c r="F24" s="21" t="s">
        <v>25</v>
      </c>
      <c r="G24" s="21" t="s">
        <v>24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25</v>
      </c>
      <c r="F25" s="29" t="s">
        <v>25</v>
      </c>
      <c r="G25" s="29" t="s">
        <v>24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25</v>
      </c>
      <c r="F26" s="21" t="s">
        <v>25</v>
      </c>
      <c r="G26" s="21" t="s">
        <v>24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25</v>
      </c>
      <c r="F29" s="29" t="s">
        <v>25</v>
      </c>
      <c r="G29" s="29" t="s">
        <v>25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114</v>
      </c>
      <c r="E2" s="7" t="s">
        <v>115</v>
      </c>
      <c r="F2" s="7" t="s">
        <v>116</v>
      </c>
      <c r="G2" s="7" t="s">
        <v>117</v>
      </c>
      <c r="H2" s="7" t="s">
        <v>118</v>
      </c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 t="s">
        <v>45</v>
      </c>
      <c r="E3" s="11">
        <v>322.0</v>
      </c>
      <c r="F3" s="11">
        <v>356.0</v>
      </c>
      <c r="G3" s="11">
        <v>313.0</v>
      </c>
      <c r="H3" s="11">
        <v>325.0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  <c r="U5" s="31" t="s">
        <v>114</v>
      </c>
      <c r="V5" s="31" t="s">
        <v>115</v>
      </c>
      <c r="W5" s="31" t="s">
        <v>116</v>
      </c>
      <c r="X5" s="47" t="s">
        <v>117</v>
      </c>
      <c r="Y5" s="31" t="s">
        <v>118</v>
      </c>
    </row>
    <row r="6" ht="15.75" customHeight="1">
      <c r="A6" s="18" t="s">
        <v>12</v>
      </c>
      <c r="B6" s="5"/>
      <c r="C6" s="19"/>
      <c r="D6" s="14"/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  <c r="U7" s="31" t="s">
        <v>45</v>
      </c>
      <c r="V7" s="31">
        <v>322.0</v>
      </c>
      <c r="W7" s="31">
        <v>356.0</v>
      </c>
      <c r="X7" s="31">
        <v>313.0</v>
      </c>
      <c r="Y7" s="31">
        <v>325.0</v>
      </c>
    </row>
    <row r="8" ht="15.75" customHeight="1">
      <c r="A8" s="12" t="s">
        <v>14</v>
      </c>
      <c r="B8" s="5"/>
      <c r="C8" s="21"/>
      <c r="D8" s="22">
        <f t="shared" ref="D8:H8" si="1">D9/$C$14*100</f>
        <v>66.66666667</v>
      </c>
      <c r="E8" s="22">
        <f t="shared" si="1"/>
        <v>53.33333333</v>
      </c>
      <c r="F8" s="22">
        <f t="shared" si="1"/>
        <v>80</v>
      </c>
      <c r="G8" s="22">
        <f t="shared" si="1"/>
        <v>46.66666667</v>
      </c>
      <c r="H8" s="22">
        <f t="shared" si="1"/>
        <v>53.33333333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H9" si="2">COUNTIF(D15:D44, "P")</f>
        <v>10</v>
      </c>
      <c r="E9" s="11">
        <f t="shared" si="2"/>
        <v>8</v>
      </c>
      <c r="F9" s="11">
        <f t="shared" si="2"/>
        <v>12</v>
      </c>
      <c r="G9" s="11">
        <f t="shared" si="2"/>
        <v>7</v>
      </c>
      <c r="H9" s="11">
        <f t="shared" si="2"/>
        <v>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U9" s="48" t="s">
        <v>25</v>
      </c>
      <c r="V9" s="48" t="s">
        <v>25</v>
      </c>
      <c r="W9" s="48" t="s">
        <v>25</v>
      </c>
      <c r="X9" s="48" t="s">
        <v>25</v>
      </c>
      <c r="Y9" s="48" t="s">
        <v>25</v>
      </c>
    </row>
    <row r="10" ht="15.75" customHeight="1">
      <c r="A10" s="12" t="s">
        <v>16</v>
      </c>
      <c r="B10" s="5"/>
      <c r="C10" s="13"/>
      <c r="D10" s="14">
        <f t="shared" ref="D10:H10" si="3">COUNTIF(D15:D45, "A")</f>
        <v>3</v>
      </c>
      <c r="E10" s="14">
        <f t="shared" si="3"/>
        <v>5</v>
      </c>
      <c r="F10" s="14">
        <f t="shared" si="3"/>
        <v>1</v>
      </c>
      <c r="G10" s="14">
        <f t="shared" si="3"/>
        <v>6</v>
      </c>
      <c r="H10" s="14">
        <f t="shared" si="3"/>
        <v>5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U10" s="48" t="s">
        <v>25</v>
      </c>
      <c r="V10" s="48" t="s">
        <v>25</v>
      </c>
      <c r="W10" s="48" t="s">
        <v>25</v>
      </c>
      <c r="X10" s="48" t="s">
        <v>25</v>
      </c>
      <c r="Y10" s="48" t="s">
        <v>24</v>
      </c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  <c r="U11" s="48" t="s">
        <v>25</v>
      </c>
      <c r="V11" s="48" t="s">
        <v>25</v>
      </c>
      <c r="W11" s="48" t="s">
        <v>25</v>
      </c>
      <c r="X11" s="48" t="s">
        <v>24</v>
      </c>
      <c r="Y11" s="48" t="s">
        <v>24</v>
      </c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  <c r="U12" s="48" t="s">
        <v>25</v>
      </c>
      <c r="V12" s="48" t="s">
        <v>24</v>
      </c>
      <c r="W12" s="48" t="s">
        <v>25</v>
      </c>
      <c r="X12" s="48" t="s">
        <v>25</v>
      </c>
      <c r="Y12" s="48" t="s">
        <v>25</v>
      </c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  <c r="U13" s="48" t="s">
        <v>25</v>
      </c>
      <c r="V13" s="48" t="s">
        <v>25</v>
      </c>
      <c r="W13" s="48" t="s">
        <v>25</v>
      </c>
      <c r="X13" s="48" t="s">
        <v>25</v>
      </c>
      <c r="Y13" s="48" t="s">
        <v>25</v>
      </c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114</v>
      </c>
      <c r="E14" s="27" t="s">
        <v>115</v>
      </c>
      <c r="F14" s="27" t="s">
        <v>116</v>
      </c>
      <c r="G14" s="27" t="s">
        <v>117</v>
      </c>
      <c r="H14" s="27" t="s">
        <v>118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U14" s="48" t="s">
        <v>24</v>
      </c>
      <c r="V14" s="48" t="s">
        <v>24</v>
      </c>
      <c r="W14" s="48" t="s">
        <v>24</v>
      </c>
      <c r="X14" s="48" t="s">
        <v>24</v>
      </c>
      <c r="Y14" s="48" t="s">
        <v>25</v>
      </c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25</v>
      </c>
      <c r="E15" s="29" t="s">
        <v>25</v>
      </c>
      <c r="F15" s="29" t="s">
        <v>25</v>
      </c>
      <c r="G15" s="29" t="s">
        <v>25</v>
      </c>
      <c r="H15" s="29" t="s">
        <v>25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  <c r="U15" s="48" t="s">
        <v>24</v>
      </c>
      <c r="V15" s="48" t="s">
        <v>25</v>
      </c>
      <c r="W15" s="48" t="s">
        <v>25</v>
      </c>
      <c r="X15" s="48" t="s">
        <v>25</v>
      </c>
      <c r="Y15" s="48" t="s">
        <v>25</v>
      </c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25</v>
      </c>
      <c r="F16" s="21" t="s">
        <v>25</v>
      </c>
      <c r="G16" s="21" t="s">
        <v>25</v>
      </c>
      <c r="H16" s="21" t="s">
        <v>24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  <c r="U16" s="48" t="s">
        <v>24</v>
      </c>
      <c r="V16" s="48" t="s">
        <v>25</v>
      </c>
      <c r="W16" s="48" t="s">
        <v>25</v>
      </c>
      <c r="X16" s="48" t="s">
        <v>25</v>
      </c>
      <c r="Y16" s="48" t="s">
        <v>25</v>
      </c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25</v>
      </c>
      <c r="F17" s="29" t="s">
        <v>25</v>
      </c>
      <c r="G17" s="29" t="s">
        <v>24</v>
      </c>
      <c r="H17" s="29" t="s">
        <v>24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  <c r="U17" s="48" t="s">
        <v>25</v>
      </c>
      <c r="V17" s="48" t="s">
        <v>24</v>
      </c>
      <c r="W17" s="48" t="s">
        <v>25</v>
      </c>
      <c r="X17" s="48" t="s">
        <v>24</v>
      </c>
      <c r="Y17" s="48" t="s">
        <v>25</v>
      </c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24</v>
      </c>
      <c r="F18" s="21" t="s">
        <v>25</v>
      </c>
      <c r="G18" s="21" t="s">
        <v>25</v>
      </c>
      <c r="H18" s="21" t="s">
        <v>25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  <c r="U18" s="31" t="s">
        <v>25</v>
      </c>
      <c r="V18" s="31" t="s">
        <v>25</v>
      </c>
      <c r="W18" s="31" t="s">
        <v>25</v>
      </c>
      <c r="X18" s="31" t="s">
        <v>24</v>
      </c>
      <c r="Y18" s="31" t="s">
        <v>24</v>
      </c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 t="s">
        <v>25</v>
      </c>
      <c r="H19" s="29" t="s">
        <v>25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  <c r="U19" s="48" t="s">
        <v>25</v>
      </c>
      <c r="V19" s="48" t="s">
        <v>25</v>
      </c>
      <c r="W19" s="48" t="s">
        <v>25</v>
      </c>
      <c r="X19" s="48" t="s">
        <v>24</v>
      </c>
      <c r="Y19" s="48" t="s">
        <v>24</v>
      </c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24</v>
      </c>
      <c r="E20" s="21" t="s">
        <v>24</v>
      </c>
      <c r="F20" s="21" t="s">
        <v>24</v>
      </c>
      <c r="G20" s="21" t="s">
        <v>24</v>
      </c>
      <c r="H20" s="21" t="s">
        <v>25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  <c r="U20" s="48" t="s">
        <v>25</v>
      </c>
      <c r="V20" s="48" t="s">
        <v>24</v>
      </c>
      <c r="W20" s="48" t="s">
        <v>25</v>
      </c>
      <c r="X20" s="48" t="s">
        <v>24</v>
      </c>
      <c r="Y20" s="48" t="s">
        <v>25</v>
      </c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24</v>
      </c>
      <c r="E21" s="29" t="s">
        <v>25</v>
      </c>
      <c r="F21" s="29" t="s">
        <v>25</v>
      </c>
      <c r="G21" s="29" t="s">
        <v>25</v>
      </c>
      <c r="H21" s="29" t="s">
        <v>25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  <c r="U21" s="48"/>
      <c r="V21" s="48"/>
      <c r="W21" s="48"/>
      <c r="X21" s="48"/>
      <c r="Y21" s="48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25</v>
      </c>
      <c r="F22" s="21" t="s">
        <v>25</v>
      </c>
      <c r="G22" s="21" t="s">
        <v>25</v>
      </c>
      <c r="H22" s="21" t="s">
        <v>25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  <c r="U22" s="48"/>
      <c r="V22" s="48"/>
      <c r="W22" s="48"/>
      <c r="X22" s="48"/>
      <c r="Y22" s="48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25</v>
      </c>
      <c r="E23" s="29" t="s">
        <v>24</v>
      </c>
      <c r="F23" s="29" t="s">
        <v>25</v>
      </c>
      <c r="G23" s="29" t="s">
        <v>24</v>
      </c>
      <c r="H23" s="29" t="s">
        <v>25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  <c r="U23" s="48" t="s">
        <v>25</v>
      </c>
      <c r="V23" s="48" t="s">
        <v>24</v>
      </c>
      <c r="W23" s="48" t="s">
        <v>25</v>
      </c>
      <c r="X23" s="48" t="s">
        <v>25</v>
      </c>
      <c r="Y23" s="48" t="s">
        <v>24</v>
      </c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25</v>
      </c>
      <c r="E24" s="21" t="s">
        <v>25</v>
      </c>
      <c r="F24" s="21" t="s">
        <v>25</v>
      </c>
      <c r="G24" s="21" t="s">
        <v>24</v>
      </c>
      <c r="H24" s="21" t="s">
        <v>24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25</v>
      </c>
      <c r="E25" s="29" t="s">
        <v>25</v>
      </c>
      <c r="F25" s="29" t="s">
        <v>25</v>
      </c>
      <c r="G25" s="29" t="s">
        <v>24</v>
      </c>
      <c r="H25" s="29" t="s">
        <v>24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25</v>
      </c>
      <c r="E26" s="21" t="s">
        <v>24</v>
      </c>
      <c r="F26" s="21" t="s">
        <v>25</v>
      </c>
      <c r="G26" s="21" t="s">
        <v>24</v>
      </c>
      <c r="H26" s="21" t="s">
        <v>25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25</v>
      </c>
      <c r="E29" s="29" t="s">
        <v>24</v>
      </c>
      <c r="F29" s="29" t="s">
        <v>25</v>
      </c>
      <c r="G29" s="29" t="s">
        <v>25</v>
      </c>
      <c r="H29" s="29" t="s">
        <v>24</v>
      </c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119</v>
      </c>
      <c r="E2" s="7" t="s">
        <v>120</v>
      </c>
      <c r="F2" s="7" t="s">
        <v>121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320.0</v>
      </c>
      <c r="E3" s="11">
        <v>465.0</v>
      </c>
      <c r="F3" s="11">
        <v>155.0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 t="s">
        <v>97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46">
        <v>46009.0</v>
      </c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F8" si="1">D9/$C$14*100</f>
        <v>40</v>
      </c>
      <c r="E8" s="22">
        <f t="shared" si="1"/>
        <v>33.33333333</v>
      </c>
      <c r="F8" s="22">
        <f t="shared" si="1"/>
        <v>60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F9" si="2">COUNTIF(D15:D44, "P")</f>
        <v>6</v>
      </c>
      <c r="E9" s="11">
        <f t="shared" si="2"/>
        <v>5</v>
      </c>
      <c r="F9" s="11">
        <f t="shared" si="2"/>
        <v>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F10" si="3">COUNTIF(D15:D45, "A")</f>
        <v>7</v>
      </c>
      <c r="E10" s="14">
        <f t="shared" si="3"/>
        <v>8</v>
      </c>
      <c r="F10" s="14">
        <f t="shared" si="3"/>
        <v>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119</v>
      </c>
      <c r="E14" s="27" t="s">
        <v>120</v>
      </c>
      <c r="F14" s="27" t="s">
        <v>121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24</v>
      </c>
      <c r="F16" s="21" t="s">
        <v>24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25</v>
      </c>
      <c r="F17" s="29" t="s">
        <v>25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25</v>
      </c>
      <c r="F18" s="21" t="s">
        <v>25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24</v>
      </c>
      <c r="F20" s="21" t="s">
        <v>24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25</v>
      </c>
      <c r="F21" s="29" t="s">
        <v>25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24</v>
      </c>
      <c r="F22" s="21" t="s">
        <v>25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24</v>
      </c>
      <c r="F23" s="29" t="s">
        <v>25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24</v>
      </c>
      <c r="F24" s="21" t="s">
        <v>24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24</v>
      </c>
      <c r="F26" s="21" t="s">
        <v>25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25</v>
      </c>
      <c r="F29" s="29" t="s">
        <v>25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B9"/>
    <mergeCell ref="A10:B10"/>
    <mergeCell ref="A11:B11"/>
    <mergeCell ref="A12:B12"/>
    <mergeCell ref="A2:B2"/>
    <mergeCell ref="A3:B3"/>
    <mergeCell ref="A4:B4"/>
    <mergeCell ref="A5:B5"/>
    <mergeCell ref="A6:B6"/>
    <mergeCell ref="A7:B7"/>
    <mergeCell ref="A8:B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119</v>
      </c>
      <c r="E2" s="7" t="s">
        <v>120</v>
      </c>
      <c r="F2" s="7" t="s">
        <v>121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320.0</v>
      </c>
      <c r="E3" s="11">
        <v>465.0</v>
      </c>
      <c r="F3" s="11">
        <v>155.0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 t="s">
        <v>97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46">
        <v>46009.0</v>
      </c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F8" si="1">D9/$C$14*100</f>
        <v>40</v>
      </c>
      <c r="E8" s="22">
        <f t="shared" si="1"/>
        <v>33.33333333</v>
      </c>
      <c r="F8" s="22">
        <f t="shared" si="1"/>
        <v>60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F9" si="2">COUNTIF(D15:D44, "P")</f>
        <v>6</v>
      </c>
      <c r="E9" s="11">
        <f t="shared" si="2"/>
        <v>5</v>
      </c>
      <c r="F9" s="11">
        <f t="shared" si="2"/>
        <v>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F10" si="3">COUNTIF(D15:D45, "A")</f>
        <v>7</v>
      </c>
      <c r="E10" s="14">
        <f t="shared" si="3"/>
        <v>8</v>
      </c>
      <c r="F10" s="14">
        <f t="shared" si="3"/>
        <v>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119</v>
      </c>
      <c r="E14" s="27" t="s">
        <v>120</v>
      </c>
      <c r="F14" s="27" t="s">
        <v>121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24</v>
      </c>
      <c r="F16" s="21" t="s">
        <v>24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25</v>
      </c>
      <c r="F17" s="29" t="s">
        <v>25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25</v>
      </c>
      <c r="F18" s="21" t="s">
        <v>25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24</v>
      </c>
      <c r="F20" s="21" t="s">
        <v>24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25</v>
      </c>
      <c r="F21" s="29" t="s">
        <v>25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24</v>
      </c>
      <c r="F22" s="21" t="s">
        <v>25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24</v>
      </c>
      <c r="F23" s="29" t="s">
        <v>25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24</v>
      </c>
      <c r="F24" s="21" t="s">
        <v>24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24</v>
      </c>
      <c r="F26" s="21" t="s">
        <v>25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25</v>
      </c>
      <c r="F29" s="29" t="s">
        <v>25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A6:B6"/>
    <mergeCell ref="A7:B7"/>
    <mergeCell ref="A8:B8"/>
    <mergeCell ref="A9:B9"/>
    <mergeCell ref="A10:B10"/>
    <mergeCell ref="A11:B11"/>
    <mergeCell ref="A12:B12"/>
    <mergeCell ref="A2:B2"/>
    <mergeCell ref="A3:B3"/>
    <mergeCell ref="A4:B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63"/>
    <col customWidth="1" min="3" max="3" width="5.5"/>
    <col customWidth="1" min="4" max="4" width="15.25"/>
    <col customWidth="1" min="5" max="5" width="13.88"/>
    <col customWidth="1" min="6" max="6" width="10.88"/>
    <col customWidth="1" min="7" max="7" width="11.75"/>
    <col customWidth="1" min="8" max="8" width="9.63"/>
    <col customWidth="1" min="9" max="9" width="6.88"/>
    <col customWidth="1" min="10" max="10" width="7.75"/>
    <col customWidth="1" min="11" max="11" width="7.63"/>
    <col customWidth="1" min="12" max="12" width="8.75"/>
    <col customWidth="1" min="13" max="13" width="9.38"/>
    <col customWidth="1" min="14" max="14" width="11.13"/>
    <col customWidth="1" min="15" max="15" width="9.63"/>
    <col customWidth="1" min="16" max="16" width="7.88"/>
    <col customWidth="1" min="17" max="17" width="8.13"/>
    <col customWidth="1" min="18" max="18" width="8.5"/>
    <col customWidth="1" min="19" max="19" width="5.63"/>
  </cols>
  <sheetData>
    <row r="1" ht="15.75" customHeight="1">
      <c r="A1" s="1"/>
      <c r="B1" s="1"/>
      <c r="C1" s="2" t="s">
        <v>0</v>
      </c>
      <c r="D1" s="3">
        <v>1.0</v>
      </c>
      <c r="E1" s="3">
        <v>2.0</v>
      </c>
      <c r="F1" s="3">
        <v>3.0</v>
      </c>
      <c r="G1" s="3">
        <v>4.0</v>
      </c>
      <c r="H1" s="3">
        <v>5.0</v>
      </c>
      <c r="I1" s="3">
        <v>6.0</v>
      </c>
      <c r="J1" s="3">
        <v>7.0</v>
      </c>
      <c r="K1" s="3">
        <v>8.0</v>
      </c>
      <c r="L1" s="3">
        <v>9.0</v>
      </c>
      <c r="M1" s="3">
        <v>10.0</v>
      </c>
      <c r="N1" s="3">
        <v>11.0</v>
      </c>
      <c r="O1" s="3">
        <v>12.0</v>
      </c>
      <c r="P1" s="3">
        <v>13.0</v>
      </c>
      <c r="Q1" s="3">
        <v>14.0</v>
      </c>
      <c r="R1" s="3">
        <v>15.0</v>
      </c>
      <c r="S1" s="3">
        <v>16.0</v>
      </c>
    </row>
    <row r="2" ht="15.75" customHeight="1">
      <c r="A2" s="4" t="s">
        <v>1</v>
      </c>
      <c r="B2" s="5"/>
      <c r="C2" s="6"/>
      <c r="D2" s="7" t="s">
        <v>119</v>
      </c>
      <c r="E2" s="7" t="s">
        <v>120</v>
      </c>
      <c r="F2" s="7" t="s">
        <v>121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</row>
    <row r="3" ht="15.75" customHeight="1">
      <c r="A3" s="9" t="s">
        <v>9</v>
      </c>
      <c r="B3" s="5"/>
      <c r="C3" s="10"/>
      <c r="D3" s="11">
        <v>320.0</v>
      </c>
      <c r="E3" s="11">
        <v>465.0</v>
      </c>
      <c r="F3" s="11">
        <v>155.0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ht="15.75" customHeight="1">
      <c r="A4" s="12" t="s">
        <v>10</v>
      </c>
      <c r="B4" s="5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ht="15.75" customHeight="1">
      <c r="A5" s="9" t="s">
        <v>11</v>
      </c>
      <c r="B5" s="5"/>
      <c r="C5" s="16"/>
      <c r="D5" s="11" t="s">
        <v>97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7"/>
    </row>
    <row r="6" ht="15.75" customHeight="1">
      <c r="A6" s="18" t="s">
        <v>12</v>
      </c>
      <c r="B6" s="5"/>
      <c r="C6" s="19"/>
      <c r="D6" s="46">
        <v>46009.0</v>
      </c>
      <c r="E6" s="20"/>
      <c r="F6" s="14"/>
      <c r="G6" s="2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</row>
    <row r="7" ht="15.75" customHeight="1">
      <c r="A7" s="9" t="s">
        <v>13</v>
      </c>
      <c r="B7" s="5"/>
      <c r="C7" s="16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7"/>
    </row>
    <row r="8" ht="15.75" customHeight="1">
      <c r="A8" s="12" t="s">
        <v>14</v>
      </c>
      <c r="B8" s="5"/>
      <c r="C8" s="21"/>
      <c r="D8" s="22">
        <f t="shared" ref="D8:F8" si="1">D9/$C$14*100</f>
        <v>40</v>
      </c>
      <c r="E8" s="22">
        <f t="shared" si="1"/>
        <v>33.33333333</v>
      </c>
      <c r="F8" s="22">
        <f t="shared" si="1"/>
        <v>60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</row>
    <row r="9" ht="15.75" customHeight="1">
      <c r="A9" s="9" t="s">
        <v>15</v>
      </c>
      <c r="B9" s="5"/>
      <c r="C9" s="10"/>
      <c r="D9" s="11">
        <f t="shared" ref="D9:F9" si="2">COUNTIF(D15:D44, "P")</f>
        <v>6</v>
      </c>
      <c r="E9" s="11">
        <f t="shared" si="2"/>
        <v>5</v>
      </c>
      <c r="F9" s="11">
        <f t="shared" si="2"/>
        <v>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15.75" customHeight="1">
      <c r="A10" s="12" t="s">
        <v>16</v>
      </c>
      <c r="B10" s="5"/>
      <c r="C10" s="13"/>
      <c r="D10" s="14">
        <f t="shared" ref="D10:F10" si="3">COUNTIF(D15:D45, "A")</f>
        <v>7</v>
      </c>
      <c r="E10" s="14">
        <f t="shared" si="3"/>
        <v>8</v>
      </c>
      <c r="F10" s="14">
        <f t="shared" si="3"/>
        <v>4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ht="15.75" customHeight="1">
      <c r="A11" s="9" t="s">
        <v>17</v>
      </c>
      <c r="B11" s="5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7"/>
    </row>
    <row r="12" ht="15.75" customHeight="1">
      <c r="A12" s="12" t="s">
        <v>18</v>
      </c>
      <c r="B12" s="5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5"/>
    </row>
    <row r="13" ht="15.75" customHeight="1">
      <c r="A13" s="23"/>
      <c r="B13" s="24"/>
      <c r="C13" s="16" t="s">
        <v>19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7"/>
    </row>
    <row r="14" ht="15.75" customHeight="1">
      <c r="A14" s="25" t="s">
        <v>20</v>
      </c>
      <c r="B14" s="26" t="s">
        <v>21</v>
      </c>
      <c r="C14" s="19">
        <f>COUNTIF(C15:C45, "Y")</f>
        <v>15</v>
      </c>
      <c r="D14" s="27" t="s">
        <v>119</v>
      </c>
      <c r="E14" s="27" t="s">
        <v>120</v>
      </c>
      <c r="F14" s="27" t="s">
        <v>121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</row>
    <row r="15" ht="15.75" customHeight="1">
      <c r="A15" s="17" t="s">
        <v>22</v>
      </c>
      <c r="B15" s="28">
        <v>45992.0</v>
      </c>
      <c r="C15" s="29" t="s">
        <v>23</v>
      </c>
      <c r="D15" s="29" t="s">
        <v>24</v>
      </c>
      <c r="E15" s="29" t="s">
        <v>24</v>
      </c>
      <c r="F15" s="29" t="s">
        <v>24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10"/>
    </row>
    <row r="16" ht="15.75" customHeight="1">
      <c r="A16" s="15" t="s">
        <v>26</v>
      </c>
      <c r="B16" s="30">
        <v>45993.0</v>
      </c>
      <c r="C16" s="21" t="s">
        <v>23</v>
      </c>
      <c r="D16" s="21" t="s">
        <v>25</v>
      </c>
      <c r="E16" s="21" t="s">
        <v>24</v>
      </c>
      <c r="F16" s="21" t="s">
        <v>24</v>
      </c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13"/>
    </row>
    <row r="17" ht="15.75" customHeight="1">
      <c r="A17" s="17" t="s">
        <v>27</v>
      </c>
      <c r="B17" s="28">
        <v>45994.0</v>
      </c>
      <c r="C17" s="29" t="s">
        <v>23</v>
      </c>
      <c r="D17" s="29" t="s">
        <v>25</v>
      </c>
      <c r="E17" s="29" t="s">
        <v>25</v>
      </c>
      <c r="F17" s="29" t="s">
        <v>25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10"/>
    </row>
    <row r="18" ht="15.75" customHeight="1">
      <c r="A18" s="15" t="s">
        <v>28</v>
      </c>
      <c r="B18" s="30">
        <v>45995.0</v>
      </c>
      <c r="C18" s="21" t="s">
        <v>23</v>
      </c>
      <c r="D18" s="21" t="s">
        <v>25</v>
      </c>
      <c r="E18" s="21" t="s">
        <v>25</v>
      </c>
      <c r="F18" s="21" t="s">
        <v>25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13"/>
    </row>
    <row r="19" ht="15.75" customHeight="1">
      <c r="A19" s="17" t="s">
        <v>29</v>
      </c>
      <c r="B19" s="28">
        <v>45996.0</v>
      </c>
      <c r="C19" s="29" t="s">
        <v>23</v>
      </c>
      <c r="D19" s="29" t="s">
        <v>25</v>
      </c>
      <c r="E19" s="29" t="s">
        <v>25</v>
      </c>
      <c r="F19" s="29" t="s">
        <v>25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10"/>
    </row>
    <row r="20" ht="15.75" customHeight="1">
      <c r="A20" s="15" t="s">
        <v>30</v>
      </c>
      <c r="B20" s="30">
        <v>45997.0</v>
      </c>
      <c r="C20" s="21" t="s">
        <v>23</v>
      </c>
      <c r="D20" s="21" t="s">
        <v>25</v>
      </c>
      <c r="E20" s="21" t="s">
        <v>24</v>
      </c>
      <c r="F20" s="21" t="s">
        <v>24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13"/>
    </row>
    <row r="21" ht="15.75" customHeight="1">
      <c r="A21" s="17" t="s">
        <v>31</v>
      </c>
      <c r="B21" s="28">
        <v>45998.0</v>
      </c>
      <c r="C21" s="29" t="s">
        <v>23</v>
      </c>
      <c r="D21" s="29" t="s">
        <v>25</v>
      </c>
      <c r="E21" s="29" t="s">
        <v>25</v>
      </c>
      <c r="F21" s="29" t="s">
        <v>25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10"/>
    </row>
    <row r="22" ht="15.75" customHeight="1">
      <c r="A22" s="15" t="s">
        <v>22</v>
      </c>
      <c r="B22" s="30">
        <v>45999.0</v>
      </c>
      <c r="C22" s="21" t="s">
        <v>23</v>
      </c>
      <c r="D22" s="21" t="s">
        <v>24</v>
      </c>
      <c r="E22" s="21" t="s">
        <v>24</v>
      </c>
      <c r="F22" s="21" t="s">
        <v>25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</row>
    <row r="23" ht="15.75" customHeight="1">
      <c r="A23" s="17" t="s">
        <v>26</v>
      </c>
      <c r="B23" s="28">
        <v>46000.0</v>
      </c>
      <c r="C23" s="29" t="s">
        <v>23</v>
      </c>
      <c r="D23" s="29" t="s">
        <v>24</v>
      </c>
      <c r="E23" s="29" t="s">
        <v>24</v>
      </c>
      <c r="F23" s="29" t="s">
        <v>25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10"/>
    </row>
    <row r="24" ht="15.75" customHeight="1">
      <c r="A24" s="15" t="s">
        <v>27</v>
      </c>
      <c r="B24" s="30">
        <v>46001.0</v>
      </c>
      <c r="C24" s="21" t="s">
        <v>23</v>
      </c>
      <c r="D24" s="21" t="s">
        <v>24</v>
      </c>
      <c r="E24" s="21" t="s">
        <v>24</v>
      </c>
      <c r="F24" s="21" t="s">
        <v>24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13"/>
    </row>
    <row r="25" ht="15.75" customHeight="1">
      <c r="A25" s="17" t="s">
        <v>28</v>
      </c>
      <c r="B25" s="28">
        <v>46002.0</v>
      </c>
      <c r="C25" s="29" t="s">
        <v>23</v>
      </c>
      <c r="D25" s="29" t="s">
        <v>24</v>
      </c>
      <c r="E25" s="29" t="s">
        <v>24</v>
      </c>
      <c r="F25" s="29" t="s">
        <v>25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10"/>
    </row>
    <row r="26" ht="15.75" customHeight="1">
      <c r="A26" s="15" t="s">
        <v>29</v>
      </c>
      <c r="B26" s="30">
        <v>46003.0</v>
      </c>
      <c r="C26" s="21" t="s">
        <v>23</v>
      </c>
      <c r="D26" s="21" t="s">
        <v>24</v>
      </c>
      <c r="E26" s="21" t="s">
        <v>24</v>
      </c>
      <c r="F26" s="21" t="s">
        <v>25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13"/>
    </row>
    <row r="27" ht="15.75" customHeight="1">
      <c r="A27" s="17" t="s">
        <v>30</v>
      </c>
      <c r="B27" s="28">
        <v>46004.0</v>
      </c>
      <c r="C27" s="29" t="s">
        <v>32</v>
      </c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10"/>
    </row>
    <row r="28" ht="15.75" customHeight="1">
      <c r="A28" s="15" t="s">
        <v>31</v>
      </c>
      <c r="B28" s="30">
        <v>46005.0</v>
      </c>
      <c r="C28" s="21" t="s">
        <v>32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13"/>
    </row>
    <row r="29" ht="15.75" customHeight="1">
      <c r="A29" s="17" t="s">
        <v>22</v>
      </c>
      <c r="B29" s="28">
        <v>46006.0</v>
      </c>
      <c r="C29" s="29" t="s">
        <v>23</v>
      </c>
      <c r="D29" s="29" t="s">
        <v>24</v>
      </c>
      <c r="E29" s="29" t="s">
        <v>25</v>
      </c>
      <c r="F29" s="29" t="s">
        <v>25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10"/>
    </row>
    <row r="30" ht="15.75" customHeight="1">
      <c r="A30" s="15" t="s">
        <v>26</v>
      </c>
      <c r="B30" s="30">
        <v>46007.0</v>
      </c>
      <c r="C30" s="13" t="s">
        <v>23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ht="15.75" customHeight="1">
      <c r="A31" s="17" t="s">
        <v>27</v>
      </c>
      <c r="B31" s="28">
        <v>46008.0</v>
      </c>
      <c r="C31" s="10" t="s">
        <v>23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ht="15.75" customHeight="1">
      <c r="A32" s="15" t="s">
        <v>28</v>
      </c>
      <c r="B32" s="30">
        <v>46009.0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ht="15.75" customHeight="1">
      <c r="A33" s="17" t="s">
        <v>29</v>
      </c>
      <c r="B33" s="28">
        <v>46010.0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ht="15.75" customHeight="1">
      <c r="A34" s="15" t="s">
        <v>30</v>
      </c>
      <c r="B34" s="30">
        <v>46011.0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ht="15.75" customHeight="1">
      <c r="A35" s="17" t="s">
        <v>31</v>
      </c>
      <c r="B35" s="28">
        <v>46012.0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ht="15.75" customHeight="1">
      <c r="A36" s="15" t="s">
        <v>22</v>
      </c>
      <c r="B36" s="30">
        <v>46013.0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ht="15.75" customHeight="1">
      <c r="A37" s="17" t="s">
        <v>26</v>
      </c>
      <c r="B37" s="28">
        <v>46014.0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ht="15.75" customHeight="1">
      <c r="A38" s="15" t="s">
        <v>27</v>
      </c>
      <c r="B38" s="30">
        <v>46015.0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ht="15.75" customHeight="1">
      <c r="A39" s="17" t="s">
        <v>28</v>
      </c>
      <c r="B39" s="28">
        <v>46016.0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ht="15.75" customHeight="1">
      <c r="A40" s="15" t="s">
        <v>29</v>
      </c>
      <c r="B40" s="30">
        <v>46017.0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ht="15.75" customHeight="1">
      <c r="A41" s="17" t="s">
        <v>30</v>
      </c>
      <c r="B41" s="28">
        <v>46018.0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ht="15.75" customHeight="1">
      <c r="A42" s="15" t="s">
        <v>31</v>
      </c>
      <c r="B42" s="30">
        <v>46019.0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ht="15.75" customHeight="1">
      <c r="A43" s="17" t="s">
        <v>22</v>
      </c>
      <c r="B43" s="28">
        <v>46020.0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ht="15.75" customHeight="1">
      <c r="A44" s="15" t="s">
        <v>26</v>
      </c>
      <c r="B44" s="30">
        <v>46021.0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ht="15.75" customHeight="1">
      <c r="A45" s="17" t="s">
        <v>27</v>
      </c>
      <c r="B45" s="28">
        <v>46022.0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ht="15.75" customHeight="1">
      <c r="A46" s="31"/>
      <c r="B46" s="32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ht="15.75" customHeight="1">
      <c r="A47" s="31"/>
      <c r="B47" s="32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ht="15.75" customHeight="1">
      <c r="A48" s="31"/>
      <c r="B48" s="32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ht="15.75" customHeight="1">
      <c r="A49" s="31"/>
      <c r="B49" s="32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ht="15.75" customHeight="1">
      <c r="A50" s="31"/>
      <c r="B50" s="32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ht="15.75" customHeight="1">
      <c r="A51" s="31"/>
      <c r="B51" s="32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</row>
    <row r="52" ht="15.75" customHeight="1">
      <c r="A52" s="31" t="s">
        <v>28</v>
      </c>
      <c r="B52" s="32">
        <v>46023.0</v>
      </c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</row>
    <row r="53" ht="15.75" customHeight="1">
      <c r="A53" s="31" t="s">
        <v>29</v>
      </c>
      <c r="B53" s="32">
        <v>46024.0</v>
      </c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</row>
    <row r="54" ht="15.75" customHeight="1">
      <c r="A54" s="31" t="s">
        <v>30</v>
      </c>
      <c r="B54" s="32">
        <v>46025.0</v>
      </c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  <row r="55" ht="15.75" customHeight="1">
      <c r="A55" s="31" t="s">
        <v>31</v>
      </c>
      <c r="B55" s="32">
        <v>46026.0</v>
      </c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</row>
    <row r="56" ht="15.75" customHeight="1">
      <c r="A56" s="31" t="s">
        <v>22</v>
      </c>
      <c r="B56" s="32">
        <v>46027.0</v>
      </c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</row>
    <row r="57" ht="15.75" customHeight="1">
      <c r="A57" s="31" t="s">
        <v>26</v>
      </c>
      <c r="B57" s="32">
        <v>46028.0</v>
      </c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</row>
    <row r="58" ht="15.75" customHeight="1">
      <c r="A58" s="31" t="s">
        <v>27</v>
      </c>
      <c r="B58" s="34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ht="15.75" customHeight="1">
      <c r="B59" s="34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</row>
    <row r="60" ht="15.75" customHeight="1">
      <c r="B60" s="34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</row>
    <row r="61" ht="15.75" customHeight="1">
      <c r="B61" s="34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ht="15.75" customHeight="1">
      <c r="B62" s="34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</row>
    <row r="63" ht="15.75" customHeight="1">
      <c r="B63" s="34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</row>
    <row r="64" ht="15.75" customHeight="1">
      <c r="B64" s="34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</row>
    <row r="65" ht="15.75" customHeight="1">
      <c r="B65" s="34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</row>
    <row r="66" ht="15.75" customHeight="1">
      <c r="B66" s="34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</row>
    <row r="67" ht="15.75" customHeight="1">
      <c r="B67" s="34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ht="15.75" customHeight="1">
      <c r="B68" s="34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ht="15.75" customHeight="1">
      <c r="B69" s="34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</row>
    <row r="70" ht="15.75" customHeight="1">
      <c r="B70" s="34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</row>
    <row r="71" ht="15.75" customHeight="1">
      <c r="B71" s="34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ht="15.75" customHeight="1">
      <c r="B72" s="34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ht="15.75" customHeight="1">
      <c r="B73" s="34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ht="15.75" customHeight="1">
      <c r="B74" s="34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ht="15.75" customHeight="1">
      <c r="B75" s="34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</row>
    <row r="76" ht="15.75" customHeight="1">
      <c r="B76" s="34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</row>
    <row r="77" ht="15.75" customHeight="1">
      <c r="B77" s="34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</row>
    <row r="78" ht="15.75" customHeight="1">
      <c r="B78" s="34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</row>
    <row r="79" ht="15.75" customHeight="1">
      <c r="B79" s="34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ht="15.75" customHeight="1">
      <c r="B80" s="34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</row>
    <row r="81" ht="15.75" customHeight="1">
      <c r="B81" s="34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</row>
    <row r="82" ht="15.75" customHeight="1">
      <c r="B82" s="34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</row>
    <row r="83" ht="15.75" customHeight="1">
      <c r="B83" s="34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</row>
    <row r="84" ht="15.75" customHeight="1">
      <c r="B84" s="34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</row>
    <row r="85" ht="15.75" customHeight="1">
      <c r="B85" s="34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</row>
    <row r="86" ht="15.75" customHeight="1">
      <c r="B86" s="34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</row>
    <row r="87" ht="15.75" customHeight="1">
      <c r="B87" s="34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ht="15.75" customHeight="1">
      <c r="B88" s="34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ht="15.75" customHeight="1">
      <c r="B89" s="34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</row>
    <row r="90" ht="15.75" customHeight="1">
      <c r="B90" s="34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</row>
    <row r="91" ht="15.75" customHeight="1">
      <c r="B91" s="34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</row>
    <row r="92" ht="15.75" customHeight="1">
      <c r="B92" s="34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</row>
    <row r="93" ht="15.75" customHeight="1">
      <c r="B93" s="34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</row>
    <row r="94" ht="15.75" customHeight="1">
      <c r="B94" s="34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ht="15.75" customHeight="1">
      <c r="B95" s="34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</row>
    <row r="96" ht="15.75" customHeight="1">
      <c r="B96" s="34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</row>
    <row r="97" ht="15.75" customHeight="1">
      <c r="B97" s="34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ht="15.75" customHeight="1">
      <c r="B98" s="34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</row>
    <row r="99" ht="15.75" customHeight="1">
      <c r="B99" s="34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</row>
    <row r="100" ht="15.75" customHeight="1">
      <c r="B100" s="34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</row>
    <row r="101" ht="15.75" customHeight="1">
      <c r="B101" s="34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ht="15.75" customHeight="1">
      <c r="B102" s="34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</row>
    <row r="103" ht="15.75" customHeight="1">
      <c r="B103" s="34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</row>
    <row r="104" ht="15.75" customHeight="1">
      <c r="B104" s="34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</row>
    <row r="105" ht="15.75" customHeight="1">
      <c r="B105" s="34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</row>
    <row r="106" ht="15.75" customHeight="1">
      <c r="B106" s="34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</row>
    <row r="107" ht="15.75" customHeight="1">
      <c r="B107" s="34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</row>
    <row r="108" ht="15.75" customHeight="1">
      <c r="B108" s="34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</row>
    <row r="109" ht="15.75" customHeight="1">
      <c r="B109" s="34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</row>
    <row r="110" ht="15.75" customHeight="1">
      <c r="B110" s="34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</row>
    <row r="111" ht="15.75" customHeight="1">
      <c r="B111" s="34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</row>
    <row r="112" ht="15.75" customHeight="1">
      <c r="B112" s="34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</row>
    <row r="113" ht="15.75" customHeight="1">
      <c r="B113" s="34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</row>
    <row r="114" ht="15.75" customHeight="1">
      <c r="B114" s="34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</row>
    <row r="115" ht="15.75" customHeight="1">
      <c r="B115" s="34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ht="15.75" customHeight="1">
      <c r="B116" s="34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</row>
    <row r="117" ht="15.75" customHeight="1">
      <c r="B117" s="34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</row>
    <row r="118" ht="15.75" customHeight="1">
      <c r="B118" s="34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</row>
    <row r="119" ht="15.75" customHeight="1">
      <c r="B119" s="34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</row>
    <row r="120" ht="15.75" customHeight="1">
      <c r="B120" s="34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</row>
    <row r="121" ht="15.75" customHeight="1">
      <c r="B121" s="34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</row>
    <row r="122" ht="15.75" customHeight="1">
      <c r="B122" s="34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</row>
    <row r="123" ht="15.75" customHeight="1">
      <c r="B123" s="34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</row>
    <row r="124" ht="15.75" customHeight="1">
      <c r="B124" s="34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</row>
    <row r="125" ht="15.75" customHeight="1">
      <c r="B125" s="34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</row>
    <row r="126" ht="15.75" customHeight="1">
      <c r="B126" s="34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</row>
    <row r="127" ht="15.75" customHeight="1">
      <c r="B127" s="34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</row>
    <row r="128" ht="15.75" customHeight="1">
      <c r="B128" s="34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</row>
    <row r="129" ht="15.75" customHeight="1">
      <c r="B129" s="34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</row>
    <row r="130" ht="15.75" customHeight="1">
      <c r="B130" s="34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</row>
    <row r="131" ht="15.75" customHeight="1">
      <c r="B131" s="34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</row>
    <row r="132" ht="15.75" customHeight="1">
      <c r="B132" s="34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</row>
    <row r="133" ht="15.75" customHeight="1">
      <c r="B133" s="34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</row>
    <row r="134" ht="15.75" customHeight="1">
      <c r="B134" s="34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</row>
    <row r="135" ht="15.75" customHeight="1">
      <c r="B135" s="34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</row>
    <row r="136" ht="15.75" customHeight="1">
      <c r="B136" s="34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</row>
    <row r="137" ht="15.75" customHeight="1">
      <c r="B137" s="34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</row>
    <row r="138" ht="15.75" customHeight="1">
      <c r="B138" s="34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</row>
    <row r="139" ht="15.75" customHeight="1">
      <c r="B139" s="34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</row>
    <row r="140" ht="15.75" customHeight="1">
      <c r="B140" s="34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</row>
    <row r="141" ht="15.75" customHeight="1">
      <c r="B141" s="34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</row>
    <row r="142" ht="15.75" customHeight="1">
      <c r="B142" s="34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</row>
    <row r="143" ht="15.75" customHeight="1">
      <c r="B143" s="34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</row>
    <row r="144" ht="15.75" customHeight="1">
      <c r="B144" s="34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</row>
    <row r="145" ht="15.75" customHeight="1">
      <c r="B145" s="34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</row>
    <row r="146" ht="15.75" customHeight="1">
      <c r="B146" s="34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</row>
    <row r="147" ht="15.75" customHeight="1">
      <c r="B147" s="34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</row>
    <row r="148" ht="15.75" customHeight="1">
      <c r="B148" s="34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</row>
    <row r="149" ht="15.75" customHeight="1">
      <c r="B149" s="34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</row>
    <row r="150" ht="15.75" customHeight="1">
      <c r="B150" s="34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</row>
    <row r="151" ht="15.75" customHeight="1">
      <c r="B151" s="34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</row>
    <row r="152" ht="15.75" customHeight="1">
      <c r="B152" s="34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ht="15.75" customHeight="1">
      <c r="B153" s="34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</row>
    <row r="154" ht="15.75" customHeight="1">
      <c r="B154" s="34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</row>
    <row r="155" ht="15.75" customHeight="1">
      <c r="B155" s="34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</row>
    <row r="156" ht="15.75" customHeight="1">
      <c r="B156" s="34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</row>
    <row r="157" ht="15.75" customHeight="1">
      <c r="B157" s="34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</row>
    <row r="158" ht="15.75" customHeight="1">
      <c r="B158" s="34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</row>
    <row r="159" ht="15.75" customHeight="1">
      <c r="B159" s="34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</row>
    <row r="160" ht="15.75" customHeight="1">
      <c r="B160" s="34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</row>
    <row r="161" ht="15.75" customHeight="1">
      <c r="B161" s="34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</row>
    <row r="162" ht="15.75" customHeight="1">
      <c r="B162" s="34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</row>
    <row r="163" ht="15.75" customHeight="1">
      <c r="B163" s="34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</row>
    <row r="164" ht="15.75" customHeight="1">
      <c r="B164" s="34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</row>
    <row r="165" ht="15.75" customHeight="1">
      <c r="B165" s="34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</row>
    <row r="166" ht="15.75" customHeight="1">
      <c r="B166" s="34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</row>
    <row r="167" ht="15.75" customHeight="1">
      <c r="B167" s="34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</row>
    <row r="168" ht="15.75" customHeight="1">
      <c r="B168" s="34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</row>
    <row r="169" ht="15.75" customHeight="1">
      <c r="B169" s="34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</row>
    <row r="170" ht="15.75" customHeight="1">
      <c r="B170" s="34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ht="15.75" customHeight="1">
      <c r="B171" s="34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</row>
    <row r="172" ht="15.75" customHeight="1">
      <c r="B172" s="34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</row>
    <row r="173" ht="15.75" customHeight="1">
      <c r="B173" s="34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</row>
    <row r="174" ht="15.75" customHeight="1">
      <c r="B174" s="34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</row>
    <row r="175" ht="15.75" customHeight="1">
      <c r="B175" s="34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</row>
    <row r="176" ht="15.75" customHeight="1">
      <c r="B176" s="34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</row>
    <row r="177" ht="15.75" customHeight="1">
      <c r="B177" s="34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</row>
    <row r="178" ht="15.75" customHeight="1">
      <c r="B178" s="34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</row>
    <row r="179" ht="15.75" customHeight="1">
      <c r="B179" s="34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</row>
    <row r="180" ht="15.75" customHeight="1">
      <c r="B180" s="34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</row>
    <row r="181" ht="15.75" customHeight="1">
      <c r="B181" s="34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</row>
    <row r="182" ht="15.75" customHeight="1">
      <c r="B182" s="34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</row>
    <row r="183" ht="15.75" customHeight="1">
      <c r="B183" s="34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</row>
    <row r="184" ht="15.75" customHeight="1">
      <c r="B184" s="34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</row>
    <row r="185" ht="15.75" customHeight="1">
      <c r="B185" s="34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</row>
    <row r="186" ht="15.75" customHeight="1">
      <c r="B186" s="34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</row>
    <row r="187" ht="15.75" customHeight="1">
      <c r="B187" s="34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</row>
    <row r="188" ht="15.75" customHeight="1">
      <c r="B188" s="34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ht="15.75" customHeight="1">
      <c r="B189" s="34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</row>
    <row r="190" ht="15.75" customHeight="1">
      <c r="B190" s="34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</row>
    <row r="191" ht="15.75" customHeight="1">
      <c r="B191" s="34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</row>
    <row r="192" ht="15.75" customHeight="1">
      <c r="B192" s="34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</row>
    <row r="193" ht="15.75" customHeight="1">
      <c r="B193" s="34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</row>
    <row r="194" ht="15.75" customHeight="1">
      <c r="B194" s="34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</row>
    <row r="195" ht="15.75" customHeight="1">
      <c r="B195" s="34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</row>
    <row r="196" ht="15.75" customHeight="1">
      <c r="B196" s="34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</row>
    <row r="197" ht="15.75" customHeight="1">
      <c r="B197" s="34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</row>
    <row r="198" ht="15.75" customHeight="1">
      <c r="B198" s="34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</row>
    <row r="199" ht="15.75" customHeight="1">
      <c r="B199" s="34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</row>
    <row r="200" ht="15.75" customHeight="1">
      <c r="B200" s="34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</row>
    <row r="201" ht="15.75" customHeight="1">
      <c r="B201" s="34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</row>
    <row r="202" ht="15.75" customHeight="1">
      <c r="B202" s="34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</row>
    <row r="203" ht="15.75" customHeight="1">
      <c r="B203" s="34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</row>
    <row r="204" ht="15.75" customHeight="1">
      <c r="B204" s="34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</row>
    <row r="205" ht="15.75" customHeight="1">
      <c r="B205" s="34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</row>
    <row r="206" ht="15.75" customHeight="1">
      <c r="B206" s="34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ht="15.75" customHeight="1">
      <c r="B207" s="34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</row>
    <row r="208" ht="15.75" customHeight="1">
      <c r="B208" s="34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</row>
    <row r="209" ht="15.75" customHeight="1">
      <c r="B209" s="34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</row>
    <row r="210" ht="15.75" customHeight="1">
      <c r="B210" s="34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</row>
    <row r="211" ht="15.75" customHeight="1">
      <c r="B211" s="34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</row>
    <row r="212" ht="15.75" customHeight="1">
      <c r="B212" s="34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</row>
    <row r="213" ht="15.75" customHeight="1">
      <c r="B213" s="34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</row>
    <row r="214" ht="15.75" customHeight="1">
      <c r="B214" s="34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</row>
    <row r="215" ht="15.75" customHeight="1">
      <c r="B215" s="34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</row>
    <row r="216" ht="15.75" customHeight="1">
      <c r="B216" s="34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</row>
    <row r="217" ht="15.75" customHeight="1">
      <c r="B217" s="34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</row>
    <row r="218" ht="15.75" customHeight="1">
      <c r="B218" s="34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</row>
    <row r="219" ht="15.75" customHeight="1">
      <c r="B219" s="34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</row>
    <row r="220" ht="15.75" customHeight="1">
      <c r="B220" s="34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</row>
    <row r="221" ht="15.75" customHeight="1">
      <c r="B221" s="34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</row>
    <row r="222" ht="15.75" customHeight="1">
      <c r="B222" s="34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</row>
    <row r="223" ht="15.75" customHeight="1">
      <c r="B223" s="34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</row>
    <row r="224" ht="15.75" customHeight="1">
      <c r="B224" s="34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ht="15.75" customHeight="1">
      <c r="B225" s="34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</row>
    <row r="226" ht="15.75" customHeight="1">
      <c r="B226" s="34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</row>
    <row r="227" ht="15.75" customHeight="1">
      <c r="B227" s="34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</row>
    <row r="228" ht="15.75" customHeight="1">
      <c r="B228" s="34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</row>
    <row r="229" ht="15.75" customHeight="1">
      <c r="B229" s="34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</row>
    <row r="230" ht="15.75" customHeight="1">
      <c r="B230" s="34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</row>
    <row r="231" ht="15.75" customHeight="1">
      <c r="B231" s="34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</row>
    <row r="232" ht="15.75" customHeight="1">
      <c r="B232" s="34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</row>
    <row r="233" ht="15.75" customHeight="1">
      <c r="B233" s="34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</row>
    <row r="234" ht="15.75" customHeight="1">
      <c r="B234" s="34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</row>
    <row r="235" ht="15.75" customHeight="1">
      <c r="B235" s="34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</row>
    <row r="236" ht="15.75" customHeight="1">
      <c r="B236" s="34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</row>
    <row r="237" ht="15.75" customHeight="1">
      <c r="B237" s="34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</row>
    <row r="238" ht="15.75" customHeight="1">
      <c r="B238" s="34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</row>
    <row r="239" ht="15.75" customHeight="1">
      <c r="B239" s="34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</row>
    <row r="240" ht="15.75" customHeight="1">
      <c r="B240" s="34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</row>
    <row r="241" ht="15.75" customHeight="1">
      <c r="B241" s="34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</row>
    <row r="242" ht="15.75" customHeight="1">
      <c r="B242" s="34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</row>
    <row r="243" ht="15.75" customHeight="1">
      <c r="B243" s="34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ht="15.75" customHeight="1">
      <c r="B244" s="34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</row>
    <row r="245" ht="15.75" customHeight="1">
      <c r="B245" s="34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</row>
    <row r="246" ht="15.75" customHeight="1">
      <c r="B246" s="34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</row>
    <row r="247" ht="15.75" customHeight="1">
      <c r="B247" s="34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</row>
    <row r="248" ht="15.75" customHeight="1">
      <c r="B248" s="34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</row>
    <row r="249" ht="15.75" customHeight="1">
      <c r="B249" s="34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</row>
    <row r="250" ht="15.75" customHeight="1">
      <c r="B250" s="34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</row>
    <row r="251" ht="15.75" customHeight="1">
      <c r="B251" s="34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</row>
    <row r="252" ht="15.75" customHeight="1">
      <c r="B252" s="34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</row>
    <row r="253" ht="15.75" customHeight="1">
      <c r="B253" s="34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</row>
    <row r="254" ht="15.75" customHeight="1">
      <c r="B254" s="34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</row>
    <row r="255" ht="15.75" customHeight="1">
      <c r="B255" s="34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</row>
    <row r="256" ht="15.75" customHeight="1">
      <c r="B256" s="34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</row>
    <row r="257" ht="15.75" customHeight="1">
      <c r="B257" s="34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</row>
    <row r="258" ht="15.75" customHeight="1">
      <c r="B258" s="34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:B5"/>
    <mergeCell ref="A6:B6"/>
    <mergeCell ref="A7:B7"/>
    <mergeCell ref="A8:B8"/>
    <mergeCell ref="A9:B9"/>
    <mergeCell ref="A10:B10"/>
    <mergeCell ref="A11:B11"/>
    <mergeCell ref="A12:B12"/>
    <mergeCell ref="A2:B2"/>
    <mergeCell ref="A3:B3"/>
    <mergeCell ref="A4:B4"/>
  </mergeCells>
  <drawing r:id="rId1"/>
</worksheet>
</file>